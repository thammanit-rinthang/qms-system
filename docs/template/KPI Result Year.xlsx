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6-KPI\KPI Year 2026\"/>
    </mc:Choice>
  </mc:AlternateContent>
  <xr:revisionPtr revIDLastSave="0" documentId="13_ncr:1_{D9D15D93-DA86-4CE9-B1C8-313A258E3F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.00" sheetId="1" r:id="rId1"/>
    <sheet name="Sheet2" sheetId="2" state="hidden" r:id="rId2"/>
    <sheet name="Sheet1" sheetId="5" state="hidden" r:id="rId3"/>
  </sheets>
  <definedNames>
    <definedName name="_xlnm.Print_Area" localSheetId="0">'Rev.00'!$A$1:$Z$84</definedName>
    <definedName name="_xlnm.Print_Titles" localSheetId="0">'Rev.00'!$6:$7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1" l="1"/>
  <c r="B50" i="1"/>
  <c r="Y5" i="1" l="1"/>
  <c r="C17" i="5" l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B9" i="1"/>
  <c r="B10" i="1" s="1"/>
  <c r="B11" i="1" s="1"/>
  <c r="B12" i="1" s="1"/>
  <c r="B13" i="1" s="1"/>
  <c r="B14" i="1" l="1"/>
  <c r="B15" i="1" l="1"/>
  <c r="B16" i="1" s="1"/>
  <c r="B17" i="1" s="1"/>
  <c r="B18" i="1" s="1"/>
  <c r="B19" i="1" l="1"/>
  <c r="B20" i="1" s="1"/>
  <c r="B21" i="1" l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l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51" i="1" l="1"/>
  <c r="B52" i="1" s="1"/>
  <c r="B53" i="1" s="1"/>
  <c r="B54" i="1" s="1"/>
  <c r="B55" i="1" s="1"/>
  <c r="B56" i="1" s="1"/>
  <c r="B57" i="1" s="1"/>
  <c r="B58" i="1" s="1"/>
  <c r="B59" i="1" s="1"/>
  <c r="B60" i="1" l="1"/>
  <c r="B61" i="1" s="1"/>
  <c r="B62" i="1" s="1"/>
  <c r="B63" i="1" s="1"/>
  <c r="B64" i="1" s="1"/>
  <c r="B65" i="1" s="1"/>
  <c r="B66" i="1" s="1"/>
</calcChain>
</file>

<file path=xl/sharedStrings.xml><?xml version="1.0" encoding="utf-8"?>
<sst xmlns="http://schemas.openxmlformats.org/spreadsheetml/2006/main" count="336" uniqueCount="167">
  <si>
    <t>NDC INDUSTRIAL CO., LTD.</t>
  </si>
  <si>
    <t>บริษัท เอ็นดีซี อินดัสเทรียล จำกัด</t>
  </si>
  <si>
    <t>ลำดับ</t>
  </si>
  <si>
    <t>ตัวชี้วัดวัตถุประสงค์คุณภาพ</t>
  </si>
  <si>
    <t>เป้าหมาย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</si>
  <si>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</si>
  <si>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</si>
  <si>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</si>
  <si>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</si>
  <si>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</si>
  <si>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</si>
  <si>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</si>
  <si>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</si>
  <si>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</si>
  <si>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</si>
  <si>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</si>
  <si>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</si>
  <si>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PD</t>
  </si>
  <si>
    <t>MN</t>
  </si>
  <si>
    <t>WH</t>
  </si>
  <si>
    <t>PU</t>
  </si>
  <si>
    <t>HR</t>
  </si>
  <si>
    <t>SM</t>
  </si>
  <si>
    <t>SHE</t>
  </si>
  <si>
    <t>Target</t>
  </si>
  <si>
    <t>ทีมที่รับผิดชอบ</t>
  </si>
  <si>
    <t>Responsible Team</t>
  </si>
  <si>
    <t>No.</t>
  </si>
  <si>
    <t>Quality Objectives and Indicators</t>
  </si>
  <si>
    <t>Prepared by</t>
  </si>
  <si>
    <t>Reviewed by</t>
  </si>
  <si>
    <t>Approved by</t>
  </si>
  <si>
    <t>Keawkanya S.</t>
  </si>
  <si>
    <t>(</t>
  </si>
  <si>
    <t>แก้วกัญญา เสนารักษ์</t>
  </si>
  <si>
    <t>)</t>
  </si>
  <si>
    <t>อารีญา  ปลื้มใจ</t>
  </si>
  <si>
    <t>MR.MING HUANG  HSU</t>
  </si>
  <si>
    <t>Date :</t>
  </si>
  <si>
    <t xml:space="preserve">   Achieve Target</t>
  </si>
  <si>
    <t xml:space="preserve">   Not Achieve Target</t>
  </si>
  <si>
    <t>Update วันที่</t>
  </si>
  <si>
    <t>Revision No.</t>
  </si>
  <si>
    <t>00</t>
  </si>
  <si>
    <t xml:space="preserve">หมายเหตุ/Note : </t>
  </si>
  <si>
    <t>Detailed description</t>
  </si>
  <si>
    <t>คำอธิบายรายละเอียด</t>
  </si>
  <si>
    <t>≥ 90%</t>
  </si>
  <si>
    <t>QMS</t>
  </si>
  <si>
    <t>≥ 95%</t>
  </si>
  <si>
    <t>IT</t>
  </si>
  <si>
    <t>PN</t>
  </si>
  <si>
    <t>MO</t>
  </si>
  <si>
    <t>ACC</t>
  </si>
  <si>
    <t>EN(PE)</t>
  </si>
  <si>
    <t>อัปเดทผลการดำเนินงานตามวัตถุประสงค์คุณภาพ ประจำปี 2568</t>
  </si>
  <si>
    <t>หน่วยงาน</t>
  </si>
  <si>
    <t>Section</t>
  </si>
  <si>
    <t>Update on Performance Against Quality Objectives for 2025"</t>
  </si>
  <si>
    <t>Submit to QMS by the 10th of every month.</t>
  </si>
  <si>
    <t>กำหนดส่งภายในวันที่ 10 ของทุกเดือน</t>
  </si>
  <si>
    <t>ส่งแล้ว</t>
  </si>
  <si>
    <t>ยังไม่ส่ง</t>
  </si>
  <si>
    <t>OK</t>
  </si>
  <si>
    <t>NO</t>
  </si>
  <si>
    <t>QA</t>
  </si>
  <si>
    <t>EN(DS)</t>
  </si>
  <si>
    <t xml:space="preserve"> สิงหาคม 2568</t>
  </si>
  <si>
    <t>ประจำเดือน :</t>
  </si>
  <si>
    <t>Month :</t>
  </si>
  <si>
    <t>P</t>
  </si>
  <si>
    <t>\\192.168.88.231\NDC_public\NDC MR\6-KPI\KPI Year 2025</t>
  </si>
  <si>
    <t>\\192.168.88.231\NDC_public\NDC MR\6-KPI\KPI Year 2025\KPI Result Year 2025 (Apr-Dec).xlsx</t>
  </si>
  <si>
    <t>\\192.168.88.231\NDC_public\NDC MR\6-KPI</t>
  </si>
  <si>
    <t>สรุปผลการดำเนินงานตามวัตถุประสงค์คุณภาพ ประจำปี 2569</t>
  </si>
  <si>
    <t>Summary of Key Performance Results  Year 2026</t>
  </si>
  <si>
    <t>Average 
Y 2026</t>
  </si>
  <si>
    <t>New Target 
Y 2027</t>
  </si>
  <si>
    <t>ประจำปี 2568 / Year 2026</t>
  </si>
  <si>
    <t>≥ 80%</t>
  </si>
  <si>
    <t xml:space="preserve"> ≤ 5%</t>
  </si>
  <si>
    <t>PD(EN)</t>
  </si>
  <si>
    <t>≤ 10%</t>
  </si>
  <si>
    <t>EN</t>
  </si>
  <si>
    <t>0 cases.</t>
  </si>
  <si>
    <t>≥80%</t>
  </si>
  <si>
    <r>
      <t xml:space="preserve">ควบคุมไม่ให้เกิดอุบัติเหตุจากการปฏิบัติงาน ทำให้ต้องหยุดงานเกิน 3 วัน 
หรือเสียชีวิต
</t>
    </r>
    <r>
      <rPr>
        <sz val="10"/>
        <color rgb="FF0000CC"/>
        <rFont val="Leelawadee"/>
        <family val="2"/>
      </rPr>
      <t>Control to prevent work-related accidents that result in works stoppage for more than 3 days or cuase death</t>
    </r>
  </si>
  <si>
    <r>
      <t xml:space="preserve">การดำเนินกิจกรรมด้านความปลอดภัย (SHE Activety)
</t>
    </r>
    <r>
      <rPr>
        <sz val="10"/>
        <color rgb="FF0000CC"/>
        <rFont val="Leelawadee"/>
        <family val="2"/>
      </rPr>
      <t>Implementaion of Safety, Occupational Helth, and Environment (SHE) activites</t>
    </r>
  </si>
  <si>
    <r>
      <t xml:space="preserve">ต้องไม่เกิดเหตุอัคคีภัยตั้งแต่ระดับ 2 ขึ้นไป
</t>
    </r>
    <r>
      <rPr>
        <sz val="10"/>
        <color rgb="FF0000CC"/>
        <rFont val="Leelawadee"/>
        <family val="2"/>
      </rPr>
      <t>There must be no fire incidents at Level 2 or higher</t>
    </r>
  </si>
  <si>
    <r>
      <t xml:space="preserve">ติดตามการเปลี่ยนแปลงกฏหมายและส่งรายงานตามกฏหมาย
</t>
    </r>
    <r>
      <rPr>
        <sz val="10"/>
        <color rgb="FF0000CC"/>
        <rFont val="Leelawadee"/>
        <family val="2"/>
      </rPr>
      <t>Monitoring changes in legislation and submitting legally required reports</t>
    </r>
  </si>
  <si>
    <r>
      <t xml:space="preserve">ไม่มีข้อร้องเรียนจากชุมชนโดยรอบ ในรัศมี 3 กิโลเมตร 
(ด้านผลกระทบสิ่งแวดล้อม)
</t>
    </r>
    <r>
      <rPr>
        <sz val="10"/>
        <color rgb="FF0000CC"/>
        <rFont val="Leelawadee"/>
        <family val="2"/>
      </rPr>
      <t xml:space="preserve">No complaints form surrounding communities within a 3 - Kilometer radius (regarding environmental impacts) </t>
    </r>
  </si>
  <si>
    <t>≥ 99%</t>
  </si>
  <si>
    <r>
      <t xml:space="preserve">การพัฒนาระบบ/ปรับปรุงระบบที่เสร็จตามแผน
</t>
    </r>
    <r>
      <rPr>
        <sz val="10"/>
        <color rgb="FF0000CC"/>
        <rFont val="Leelawadee"/>
        <family val="2"/>
      </rPr>
      <t>System development/improvement projects completed according to plan Target</t>
    </r>
  </si>
  <si>
    <r>
      <t xml:space="preserve">การทำงานของระบบ
</t>
    </r>
    <r>
      <rPr>
        <sz val="10"/>
        <color rgb="FF0000CC"/>
        <rFont val="Leelawadee"/>
        <family val="2"/>
      </rPr>
      <t>SYSTEM UPTIME Target</t>
    </r>
  </si>
  <si>
    <r>
      <t xml:space="preserve">เป้าหมายการดำเนินงานไอที
</t>
    </r>
    <r>
      <rPr>
        <sz val="10"/>
        <color rgb="FF0000CC"/>
        <rFont val="Leelawadee"/>
        <family val="2"/>
      </rPr>
      <t>IT performance target</t>
    </r>
  </si>
  <si>
    <r>
      <t xml:space="preserve">คุณภาพสินค้าและบริการ / คุณสมบัติสินค้าและบริการตาใบสั่งซื้อ
</t>
    </r>
    <r>
      <rPr>
        <sz val="10"/>
        <color rgb="FF0000CC"/>
        <rFont val="Leelawadee"/>
        <family val="2"/>
      </rPr>
      <t>Product and service quality / Production and service specifications as per the purchase order</t>
    </r>
  </si>
  <si>
    <r>
      <t xml:space="preserve">อัตราการเคลม
</t>
    </r>
    <r>
      <rPr>
        <sz val="10"/>
        <color rgb="FF0000CC"/>
        <rFont val="Leelawadee"/>
        <family val="2"/>
      </rPr>
      <t>Claim rate</t>
    </r>
  </si>
  <si>
    <r>
      <t xml:space="preserve">ความถูกต้องของเอกสาร PO/Invoice
</t>
    </r>
    <r>
      <rPr>
        <sz val="10"/>
        <color rgb="FF0000CC"/>
        <rFont val="Leelawadee"/>
        <family val="2"/>
      </rPr>
      <t>Accuracy of PO/Invoice document</t>
    </r>
  </si>
  <si>
    <r>
      <t xml:space="preserve">จำนวนซัพพลายเออร์ที่ผ่านเกณฑ์การประเมิน
</t>
    </r>
    <r>
      <rPr>
        <sz val="10"/>
        <color rgb="FF0000CC"/>
        <rFont val="Leelawadee"/>
        <family val="2"/>
      </rPr>
      <t>Number of suppliers that met the evaluation criteria</t>
    </r>
  </si>
  <si>
    <r>
      <t xml:space="preserve">ผู้ขายส่งมอบตรงต่อเวลา
</t>
    </r>
    <r>
      <rPr>
        <sz val="10"/>
        <color rgb="FF0000CC"/>
        <rFont val="Leelawadee"/>
        <family val="2"/>
      </rPr>
      <t>On-time delivery by supplier</t>
    </r>
  </si>
  <si>
    <r>
      <t xml:space="preserve">ออกแผนผลิตตามคำสั่งซื้อของลูกค้า
</t>
    </r>
    <r>
      <rPr>
        <sz val="10"/>
        <color rgb="FF0000CC"/>
        <rFont val="Leelawadee"/>
        <family val="2"/>
      </rPr>
      <t>Production plan according to customer orders</t>
    </r>
  </si>
  <si>
    <r>
      <t xml:space="preserve">สต๊อกวัตถุดิบเพียงพอต่อกระบวนการผลิต
</t>
    </r>
    <r>
      <rPr>
        <sz val="10"/>
        <color rgb="FF0000CC"/>
        <rFont val="Leelawadee"/>
        <family val="2"/>
      </rPr>
      <t>Raw material stock is sufficient for the production process</t>
    </r>
  </si>
  <si>
    <r>
      <t xml:space="preserve">อัตราความสำเร็จของการผลิตเมื่อเทียบกับแผนที่กำหนด
</t>
    </r>
    <r>
      <rPr>
        <sz val="10"/>
        <color rgb="FF0000CC"/>
        <rFont val="Leelawadee"/>
        <family val="2"/>
      </rPr>
      <t>Production Plan Accuracy</t>
    </r>
  </si>
  <si>
    <r>
      <t xml:space="preserve">อัตราความพร้อมใช้งานของแม่พิมพ์
</t>
    </r>
    <r>
      <rPr>
        <sz val="10"/>
        <color rgb="FF0000CC"/>
        <rFont val="Leelawadee"/>
        <family val="2"/>
      </rPr>
      <t>Mold Availability Rate</t>
    </r>
  </si>
  <si>
    <t xml:space="preserve">&gt;98% </t>
  </si>
  <si>
    <r>
      <rPr>
        <sz val="10"/>
        <color theme="1"/>
        <rFont val="Aptos Narrow"/>
        <family val="2"/>
      </rPr>
      <t xml:space="preserve">&lt; </t>
    </r>
    <r>
      <rPr>
        <sz val="10"/>
        <color theme="1"/>
        <rFont val="Leelawadee"/>
        <family val="2"/>
      </rPr>
      <t>8%</t>
    </r>
  </si>
  <si>
    <r>
      <t xml:space="preserve">บันทึกรับรายการทรัพย์สินที่ซื้อมาให้ถูกต้องตรงกับระบบ ASSET เข้า 100%
</t>
    </r>
    <r>
      <rPr>
        <sz val="10"/>
        <color rgb="FF0000CC"/>
        <rFont val="Leelawadee"/>
        <family val="2"/>
      </rPr>
      <t>Record the purchased assets accurately and ensure it matches the ASST system 100%</t>
    </r>
  </si>
  <si>
    <r>
      <t xml:space="preserve">เอกสารการจ่ายเงินต้องถูกต้องและครบถ้วน &gt; 98% ของจำนวนบิลหรือเอกสารทั้งหมด
</t>
    </r>
    <r>
      <rPr>
        <sz val="10"/>
        <color rgb="FF0000CC"/>
        <rFont val="Leelawadee"/>
        <family val="2"/>
      </rPr>
      <t>Payment documents must be accurate and complete, &gt;98% of the total amount of the bill or documen</t>
    </r>
    <r>
      <rPr>
        <sz val="10"/>
        <color theme="1"/>
        <rFont val="Leelawadee"/>
        <family val="2"/>
      </rPr>
      <t>t.</t>
    </r>
  </si>
  <si>
    <r>
      <t xml:space="preserve">ติด Tag ทรัพย์สินให้เสร็จตามบิลที่เข้า 100%
</t>
    </r>
    <r>
      <rPr>
        <sz val="10"/>
        <color rgb="FF0000CC"/>
        <rFont val="Leelawadee"/>
        <family val="2"/>
      </rPr>
      <t>Complete the property tagging process according to the incoming bills 100%</t>
    </r>
  </si>
  <si>
    <r>
      <t xml:space="preserve">ยื่นภาษี (ภ.พ.30) แต่ละเดือนถูกต้องครบถ้วนและทันตามเวลาที่กำหนด 100%
</t>
    </r>
    <r>
      <rPr>
        <sz val="10"/>
        <color rgb="FF0000CC"/>
        <rFont val="Leelawadee"/>
        <family val="2"/>
      </rPr>
      <t>Tax Filing (Por Por 30) Each month is 100% accurate, compleat, and on time.</t>
    </r>
  </si>
  <si>
    <r>
      <t xml:space="preserve">ส่งรายงานค่าใช้จ่ายให้ผู้บริหารไม่เกิน 7 วันทำการของทุกเดือน
</t>
    </r>
    <r>
      <rPr>
        <sz val="10"/>
        <color rgb="FF0000CC"/>
        <rFont val="Leelawadee"/>
        <family val="2"/>
      </rPr>
      <t>Submit expense reports to management within 7 working days of the month.</t>
    </r>
  </si>
  <si>
    <r>
      <t xml:space="preserve">ส่งรายงานกำไรของสินค้าที่มีการขายต่อเดือน (กำไร-ราคาขาย-ต้นทุนต่อหน่วย. ให้แล้วเสร็จภายในวันที่ 10 ของทุกเดือน
</t>
    </r>
    <r>
      <rPr>
        <sz val="10"/>
        <color rgb="FF0000CC"/>
        <rFont val="Leelawadee"/>
        <family val="2"/>
      </rPr>
      <t>Submit the profit report of products sold per month (profit = selling price-unit cost) by the 10th of the month.</t>
    </r>
  </si>
  <si>
    <r>
      <t xml:space="preserve">สรุปรายงานหนี้ค้างชำระ ไม่เกิน 8%
</t>
    </r>
    <r>
      <rPr>
        <sz val="10"/>
        <color rgb="FF0000CC"/>
        <rFont val="Leelawadee"/>
        <family val="2"/>
      </rPr>
      <t>Summary of unpaid debt report not exceeding 8%</t>
    </r>
  </si>
  <si>
    <t>≥95%</t>
  </si>
  <si>
    <t>GA</t>
  </si>
  <si>
    <t>≥90%</t>
  </si>
  <si>
    <t>≤50%</t>
  </si>
  <si>
    <t>QA,QC</t>
  </si>
  <si>
    <t>ความถี่</t>
  </si>
  <si>
    <t>Frequency</t>
  </si>
  <si>
    <r>
      <t xml:space="preserve">ต่อเดือน
</t>
    </r>
    <r>
      <rPr>
        <sz val="10"/>
        <color rgb="FF0000CC"/>
        <rFont val="Leelawadee"/>
        <family val="2"/>
      </rPr>
      <t>Per month</t>
    </r>
  </si>
  <si>
    <r>
      <t xml:space="preserve">ผลิตงานได้ตามแผน
</t>
    </r>
    <r>
      <rPr>
        <sz val="10"/>
        <color rgb="FF0000CC"/>
        <rFont val="Leelawadee"/>
        <family val="2"/>
      </rPr>
      <t>Work was produced according to plan.</t>
    </r>
  </si>
  <si>
    <r>
      <t xml:space="preserve">ต่อไตรมาส
</t>
    </r>
    <r>
      <rPr>
        <sz val="10"/>
        <color rgb="FF0000CC"/>
        <rFont val="Leelawadee"/>
        <family val="2"/>
      </rPr>
      <t>per quarter</t>
    </r>
  </si>
  <si>
    <r>
      <t xml:space="preserve">จำนวนงานเสีย (NG) 
</t>
    </r>
    <r>
      <rPr>
        <sz val="10"/>
        <color rgb="FF0000CC"/>
        <rFont val="Leelawadee"/>
        <family val="2"/>
      </rPr>
      <t>Maintain defective rate (NG)</t>
    </r>
  </si>
  <si>
    <r>
      <t xml:space="preserve">ประกอบชิ้นงานได้ตามแผน
</t>
    </r>
    <r>
      <rPr>
        <sz val="10"/>
        <color rgb="FF0000CC"/>
        <rFont val="Leelawadee"/>
        <family val="2"/>
      </rPr>
      <t xml:space="preserve">Maintain defective rate (NG) </t>
    </r>
  </si>
  <si>
    <r>
      <t xml:space="preserve">โครงการปรับปรุงกระบวนการผลิต 1 โครงการ
</t>
    </r>
    <r>
      <rPr>
        <sz val="10"/>
        <color rgb="FF0000CC"/>
        <rFont val="Leelawadee"/>
        <family val="2"/>
      </rPr>
      <t>Improvement product process 1 Project</t>
    </r>
  </si>
  <si>
    <r>
      <t xml:space="preserve">อัตราเวลาหยุดเครื่องจักร
</t>
    </r>
    <r>
      <rPr>
        <sz val="10"/>
        <color rgb="FF0000CC"/>
        <rFont val="Leelawadee"/>
        <family val="2"/>
      </rPr>
      <t>Machine Downtime</t>
    </r>
  </si>
  <si>
    <r>
      <t xml:space="preserve">อุบัติเหตุจากงานซ่อมบำรุง
</t>
    </r>
    <r>
      <rPr>
        <sz val="10"/>
        <color rgb="FF0000CC"/>
        <rFont val="Leelawadee"/>
        <family val="2"/>
      </rPr>
      <t>Maintenance-related accidents</t>
    </r>
  </si>
  <si>
    <r>
      <t xml:space="preserve">ความถูกต้องของสต็อก (วัตถุดิบหลัก)
</t>
    </r>
    <r>
      <rPr>
        <sz val="10"/>
        <color rgb="FF0000CC"/>
        <rFont val="Leelawadee"/>
        <family val="2"/>
      </rPr>
      <t>Stock accuracy (of main/raw materials)</t>
    </r>
  </si>
  <si>
    <r>
      <t xml:space="preserve">ความถูกต้องของสต็อก (สินค้าพร้อมส่ง)
</t>
    </r>
    <r>
      <rPr>
        <sz val="10"/>
        <color rgb="FF0000CC"/>
        <rFont val="Leelawadee"/>
        <family val="2"/>
      </rPr>
      <t>Stock accuracy (of finished goods)</t>
    </r>
  </si>
  <si>
    <r>
      <t xml:space="preserve">ความตรงต่อเวลาในการควบคุมเอกสาร
</t>
    </r>
    <r>
      <rPr>
        <sz val="10"/>
        <color rgb="FF0000CC"/>
        <rFont val="Leelawadee"/>
        <family val="2"/>
      </rPr>
      <t>Document control punctuality</t>
    </r>
  </si>
  <si>
    <r>
      <t xml:space="preserve">ประสิทธิภาพการควบคุมเอกสารและรายงานผลตามแผน
</t>
    </r>
    <r>
      <rPr>
        <sz val="10"/>
        <color rgb="FF0000CC"/>
        <rFont val="Leelawadee"/>
        <family val="2"/>
      </rPr>
      <t>Document control and planned reporting efficiency</t>
    </r>
  </si>
  <si>
    <r>
      <t xml:space="preserve">การติดตามงานให้ได้ตามแผน
</t>
    </r>
    <r>
      <rPr>
        <sz val="10"/>
        <color rgb="FF0000CC"/>
        <rFont val="Leelawadee"/>
        <family val="2"/>
      </rPr>
      <t>Follow up on work as planned</t>
    </r>
  </si>
  <si>
    <r>
      <t xml:space="preserve">การฝึกอบรมตามแผนประจำปี
</t>
    </r>
    <r>
      <rPr>
        <sz val="10"/>
        <color rgb="FF0000CC"/>
        <rFont val="Leelawadee"/>
        <family val="2"/>
      </rPr>
      <t>Training as planned</t>
    </r>
  </si>
  <si>
    <r>
      <t xml:space="preserve">รับบุคลากรให้ได้ตามแผนใบขอคน
</t>
    </r>
    <r>
      <rPr>
        <sz val="10"/>
        <color rgb="FF0000CC"/>
        <rFont val="Leelawadee"/>
        <family val="2"/>
      </rPr>
      <t>Recruit employees according on plan</t>
    </r>
  </si>
  <si>
    <r>
      <t xml:space="preserve">การจ่ายเงินเดือนได้ถูกต้อง
</t>
    </r>
    <r>
      <rPr>
        <sz val="10"/>
        <color rgb="FF0000CC"/>
        <rFont val="Leelawadee"/>
        <family val="2"/>
      </rPr>
      <t>Pay salaries correctly according to the plan</t>
    </r>
  </si>
  <si>
    <r>
      <t xml:space="preserve">นำส่งเงินสมทบประกันสังคมถูกต้อง
</t>
    </r>
    <r>
      <rPr>
        <sz val="10"/>
        <color rgb="FF0000CC"/>
        <rFont val="Leelawadee"/>
        <family val="2"/>
      </rPr>
      <t>Summarize the salary correctly according to the plan</t>
    </r>
  </si>
  <si>
    <r>
      <t xml:space="preserve">นำส่ง ภงด.1 ถูกต้อง
</t>
    </r>
    <r>
      <rPr>
        <sz val="10"/>
        <color rgb="FF0000CC"/>
        <rFont val="Leelawadee"/>
        <family val="2"/>
      </rPr>
      <t>The PND.1 form has been submitted correctly</t>
    </r>
  </si>
  <si>
    <r>
      <t xml:space="preserve">ติดตามการเปลี่ยนแปลงข้อกฎหมายคุ้มครองแรงงาน
</t>
    </r>
    <r>
      <rPr>
        <sz val="10"/>
        <color rgb="FF0000CC"/>
        <rFont val="Leelawadee"/>
        <family val="2"/>
      </rPr>
      <t>Stay informed about changes to labor protection laws</t>
    </r>
  </si>
  <si>
    <r>
      <t xml:space="preserve">ความพึงพอใจของลูกค้า
</t>
    </r>
    <r>
      <rPr>
        <sz val="10"/>
        <color rgb="FF0000CC"/>
        <rFont val="Leelawadee"/>
        <family val="2"/>
      </rPr>
      <t>Customer Satisfaction</t>
    </r>
  </si>
  <si>
    <r>
      <t xml:space="preserve">การจัดส่งสินค้าให้ตรงตามกำหนดเวลาที่ลูกค้ากำหนด
</t>
    </r>
    <r>
      <rPr>
        <sz val="10"/>
        <color rgb="FF0000CC"/>
        <rFont val="Leelawadee"/>
        <family val="2"/>
      </rPr>
      <t>On-time delivery according to customer requirements</t>
    </r>
  </si>
  <si>
    <r>
      <t xml:space="preserve">เพิ่มจำนวนลูกค้าใหม่ไม่น้อยกว่า 1 ราย / 3 เดือน
</t>
    </r>
    <r>
      <rPr>
        <sz val="10"/>
        <color rgb="FF0000CC"/>
        <rFont val="Leelawadee"/>
        <family val="2"/>
      </rPr>
      <t>Increase new customer acquisition ≥ 1 customer / quarter</t>
    </r>
  </si>
  <si>
    <r>
      <t xml:space="preserve">ความถูกต้องของงานออกแบบ
</t>
    </r>
    <r>
      <rPr>
        <sz val="10"/>
        <color rgb="FF0000CC"/>
        <rFont val="Leelawadee"/>
        <family val="2"/>
      </rPr>
      <t>Design accuracy rate</t>
    </r>
  </si>
  <si>
    <r>
      <t xml:space="preserve">ความตรงต่อเวลาในการส่งมอบแบบ
</t>
    </r>
    <r>
      <rPr>
        <sz val="10"/>
        <color rgb="FF0000CC"/>
        <rFont val="Leelawadee"/>
        <family val="2"/>
      </rPr>
      <t>On-Time Design delivery rate</t>
    </r>
  </si>
  <si>
    <r>
      <t xml:space="preserve">เอกสารใบอนุญาตของบริษัทเป็นปัจจุบัน
</t>
    </r>
    <r>
      <rPr>
        <sz val="10"/>
        <color rgb="FF0000CC"/>
        <rFont val="Leelawadee"/>
        <family val="2"/>
      </rPr>
      <t>The company's licenses are legal and have not expired.</t>
    </r>
  </si>
  <si>
    <r>
      <t xml:space="preserve">จำนวนอุบัติเหตุจากการปฏิบัติงานของพนักงานขับรถ เป็นศูนย์ (0 ครั้ง) (ไม่นับรวมกรณีที่ไม่เกิดจากความประมาทของพนักงานขับรถ)
</t>
    </r>
    <r>
      <rPr>
        <sz val="10"/>
        <color rgb="FF0000CC"/>
        <rFont val="Leelawadee"/>
        <family val="2"/>
      </rPr>
      <t>Number of work-related accidents involving drivers: zero (0) incidents (excluding cases not caused by the driver’s negligence)</t>
    </r>
  </si>
  <si>
    <r>
      <t xml:space="preserve">จัดทำเอกสารและรายงานการประชุมครบถ้วนถูกต้อง
</t>
    </r>
    <r>
      <rPr>
        <sz val="10"/>
        <color rgb="FF0000CC"/>
        <rFont val="Leelawadee"/>
        <family val="2"/>
      </rPr>
      <t>Preparation of complete and accurate documents and meeting minutes at a rate</t>
    </r>
  </si>
  <si>
    <r>
      <t xml:space="preserve">เครื่องมือวัดได้รับการสอบเทียบตามแผน
</t>
    </r>
    <r>
      <rPr>
        <sz val="10"/>
        <color rgb="FF0000CC"/>
        <rFont val="Leelawadee"/>
        <family val="2"/>
      </rPr>
      <t>All measuring instruments have been calibrated according to the plan.</t>
    </r>
  </si>
  <si>
    <r>
      <t xml:space="preserve">ปิด NCR/CAR ภายใน 30 วัน
</t>
    </r>
    <r>
      <rPr>
        <sz val="10"/>
        <color rgb="FF0000CC"/>
        <rFont val="Leelawadee"/>
        <family val="2"/>
      </rPr>
      <t>NCR/CAR closure within 30 days</t>
    </r>
  </si>
  <si>
    <r>
      <t xml:space="preserve">การอบรมด้านคุณภาพครบตามแผน
</t>
    </r>
    <r>
      <rPr>
        <sz val="10"/>
        <color rgb="FF0000CC"/>
        <rFont val="Leelawadee"/>
        <family val="2"/>
      </rPr>
      <t>Quality Training Completion</t>
    </r>
  </si>
  <si>
    <r>
      <t xml:space="preserve">ตรวจรับวัตถุดิบครบ
</t>
    </r>
    <r>
      <rPr>
        <sz val="10"/>
        <color rgb="FF0000CC"/>
        <rFont val="Leelawadee"/>
        <family val="2"/>
      </rPr>
      <t>Incoming inspection completion</t>
    </r>
  </si>
  <si>
    <r>
      <t xml:space="preserve">การตรวจอนุมัติงานชิ้นแรกก่อนการผลิต
</t>
    </r>
    <r>
      <rPr>
        <sz val="10"/>
        <color rgb="FF0000CC"/>
        <rFont val="Leelawadee"/>
        <family val="2"/>
      </rPr>
      <t>First piece approval before production</t>
    </r>
  </si>
  <si>
    <r>
      <t xml:space="preserve">ปัญหา Defect ซ้ำ
</t>
    </r>
    <r>
      <rPr>
        <sz val="10"/>
        <color rgb="FF0000CC"/>
        <rFont val="Leelawadee"/>
        <family val="2"/>
      </rPr>
      <t>Repeat defect rate</t>
    </r>
  </si>
  <si>
    <t>N/A</t>
  </si>
  <si>
    <t>เฉลี่ย ปี 2026</t>
  </si>
  <si>
    <t>≤10%</t>
  </si>
  <si>
    <r>
      <t xml:space="preserve">ซ่อมบำรุงเครื่องจักรได้ตามแผน
</t>
    </r>
    <r>
      <rPr>
        <sz val="10"/>
        <color rgb="FF0000CC"/>
        <rFont val="Leelawadee"/>
        <family val="2"/>
      </rPr>
      <t>Machine maintenance carried out according to the plan.</t>
    </r>
  </si>
  <si>
    <t>≥ 85%</t>
  </si>
  <si>
    <r>
      <t xml:space="preserve">งานแจ้งซ่อมเสร็จตรงเวลา
</t>
    </r>
    <r>
      <rPr>
        <sz val="10"/>
        <color rgb="FF0000CC"/>
        <rFont val="Leelawadee"/>
        <family val="2"/>
      </rPr>
      <t>Repair completion On-Time Rate.</t>
    </r>
  </si>
  <si>
    <t>งานแจ้งสร้างเสร็จตรงเวลา
Construction Work On-Time Completion Rate</t>
  </si>
  <si>
    <t>-</t>
  </si>
  <si>
    <t>01</t>
  </si>
  <si>
    <t>New Issued</t>
  </si>
  <si>
    <r>
      <t xml:space="preserve">เพิ่ม KPI แผนก MN 2 iTem (No.8 งานแจ้งซ่อมเสร็จตรงเวลา ≥85% /Repair completion On-Time Rate ≥85% . และ No.9 งานแจ้งสร้างเสร็จตรงเวลา </t>
    </r>
    <r>
      <rPr>
        <sz val="11"/>
        <color theme="1"/>
        <rFont val="Aptos Narrow"/>
        <family val="2"/>
      </rPr>
      <t>≥85</t>
    </r>
    <r>
      <rPr>
        <sz val="12.65"/>
        <color theme="1"/>
        <rFont val="Aptos Narrow"/>
        <family val="2"/>
      </rPr>
      <t>%</t>
    </r>
    <r>
      <rPr>
        <sz val="11"/>
        <color theme="1"/>
        <rFont val="Leelawadee"/>
        <family val="2"/>
      </rPr>
      <t xml:space="preserve"> /Construction Work On-Time Completion Rate ≥85%.)</t>
    </r>
  </si>
  <si>
    <r>
      <t xml:space="preserve">ซ่อมบำรุงแม่พิมพ์ได้ตามแผน
</t>
    </r>
    <r>
      <rPr>
        <sz val="10"/>
        <color rgb="FF0000CC"/>
        <rFont val="Leelawadee"/>
        <family val="2"/>
      </rPr>
      <t xml:space="preserve">Mold maintenance as planned </t>
    </r>
  </si>
  <si>
    <t xml:space="preserve">  Not yet</t>
  </si>
  <si>
    <t>เป้าหมาย 
ปี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</si>
</sst>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B1d\-mmm\-yy"/>
    <numFmt numFmtId="188" formatCode="0.0%"/>
    <numFmt numFmtId="189" formatCode="[$-409]mmm\-yy;@"/>
    <numFmt numFmtId="190" formatCode="[$-409]mmmm\-yy;@"/>
  </numFmts>
  <fonts count="32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b/>
      <sz val="11"/>
      <name val="Tahoma"/>
      <family val="2"/>
      <scheme val="minor"/>
    </font>
    <font>
      <sz val="11"/>
      <name val="Tahoma"/>
      <family val="2"/>
      <scheme val="minor"/>
    </font>
    <font>
      <sz val="22"/>
      <color rgb="FF0000CC"/>
      <name val="Rage Italic"/>
      <family val="4"/>
    </font>
    <font>
      <sz val="12"/>
      <color rgb="FF0000CC"/>
      <name val="Arial Narrow"/>
      <family val="2"/>
    </font>
    <font>
      <sz val="12"/>
      <name val="Arial Narrow"/>
      <family val="2"/>
    </font>
    <font>
      <sz val="12"/>
      <color rgb="FF0000FF"/>
      <name val="Arial Narrow"/>
      <family val="2"/>
    </font>
    <font>
      <sz val="11"/>
      <color rgb="FF0000CC"/>
      <name val="Arial Narrow"/>
      <family val="2"/>
    </font>
    <font>
      <sz val="14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4"/>
      <color theme="1"/>
      <name val="Wingdings 2"/>
      <family val="1"/>
      <charset val="2"/>
    </font>
    <font>
      <sz val="11"/>
      <color rgb="FF0000CC"/>
      <name val="Arial Narrow"/>
      <family val="2"/>
      <charset val="222"/>
    </font>
    <font>
      <sz val="12"/>
      <color rgb="FF0000CC"/>
      <name val="Arial Narrow"/>
      <family val="2"/>
      <charset val="222"/>
    </font>
    <font>
      <sz val="24"/>
      <color rgb="FF0000CC"/>
      <name val="Rage Italic"/>
      <family val="4"/>
      <charset val="222"/>
    </font>
    <font>
      <sz val="11"/>
      <color theme="1"/>
      <name val="Leelawadee"/>
      <family val="2"/>
    </font>
    <font>
      <b/>
      <sz val="10"/>
      <color theme="1"/>
      <name val="Leelawadee"/>
      <family val="2"/>
    </font>
    <font>
      <b/>
      <sz val="12"/>
      <color theme="1"/>
      <name val="Leelawadee"/>
      <family val="2"/>
    </font>
    <font>
      <sz val="10"/>
      <color theme="1"/>
      <name val="Leelawadee"/>
      <family val="2"/>
    </font>
    <font>
      <b/>
      <sz val="10"/>
      <color theme="0"/>
      <name val="Leelawadee"/>
      <family val="2"/>
    </font>
    <font>
      <sz val="10"/>
      <name val="Leelawadee"/>
      <family val="2"/>
    </font>
    <font>
      <b/>
      <sz val="10"/>
      <name val="Leelawadee"/>
      <family val="2"/>
    </font>
    <font>
      <b/>
      <sz val="11"/>
      <color theme="1"/>
      <name val="Leelawadee"/>
      <family val="2"/>
    </font>
    <font>
      <sz val="10"/>
      <color rgb="FF0000CC"/>
      <name val="Leelawadee"/>
      <family val="2"/>
    </font>
    <font>
      <sz val="10"/>
      <color theme="1"/>
      <name val="Aptos Narrow"/>
      <family val="2"/>
    </font>
    <font>
      <b/>
      <sz val="18"/>
      <color theme="1"/>
      <name val="Leelawadee"/>
      <family val="2"/>
    </font>
    <font>
      <b/>
      <sz val="20"/>
      <color theme="1"/>
      <name val="Leelawadee"/>
      <family val="2"/>
    </font>
    <font>
      <sz val="10"/>
      <color theme="0"/>
      <name val="Leelawadee"/>
      <family val="2"/>
    </font>
    <font>
      <sz val="10"/>
      <color rgb="FFFF0000"/>
      <name val="Leelawadee"/>
      <family val="2"/>
    </font>
    <font>
      <sz val="11"/>
      <color theme="1"/>
      <name val="Aptos Narrow"/>
      <family val="2"/>
    </font>
    <font>
      <sz val="12.65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2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applyFont="1" applyFill="1" applyBorder="1"/>
    <xf numFmtId="0" fontId="3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87" fontId="8" fillId="2" borderId="15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0" xfId="0" applyFont="1" applyFill="1"/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8" xfId="0" applyFont="1" applyFill="1" applyBorder="1"/>
    <xf numFmtId="190" fontId="9" fillId="2" borderId="8" xfId="0" applyNumberFormat="1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189" fontId="9" fillId="2" borderId="2" xfId="0" applyNumberFormat="1" applyFont="1" applyFill="1" applyBorder="1" applyAlignment="1">
      <alignment horizontal="center"/>
    </xf>
    <xf numFmtId="189" fontId="9" fillId="2" borderId="0" xfId="0" applyNumberFormat="1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189" fontId="0" fillId="2" borderId="3" xfId="0" applyNumberFormat="1" applyFill="1" applyBorder="1" applyAlignment="1">
      <alignment horizontal="center"/>
    </xf>
    <xf numFmtId="0" fontId="0" fillId="2" borderId="0" xfId="0" applyFill="1"/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1" fillId="2" borderId="0" xfId="2" applyFill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17" fillId="4" borderId="1" xfId="0" applyFont="1" applyFill="1" applyBorder="1" applyAlignment="1">
      <alignment horizontal="center" vertical="center" wrapText="1"/>
    </xf>
    <xf numFmtId="0" fontId="17" fillId="4" borderId="1" xfId="0" quotePrefix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7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9" fontId="19" fillId="2" borderId="1" xfId="0" applyNumberFormat="1" applyFont="1" applyFill="1" applyBorder="1" applyAlignment="1">
      <alignment horizontal="center" vertical="center"/>
    </xf>
    <xf numFmtId="10" fontId="17" fillId="2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0" fontId="20" fillId="2" borderId="1" xfId="0" applyNumberFormat="1" applyFont="1" applyFill="1" applyBorder="1" applyAlignment="1">
      <alignment horizontal="center" vertical="center"/>
    </xf>
    <xf numFmtId="10" fontId="19" fillId="2" borderId="1" xfId="0" applyNumberFormat="1" applyFont="1" applyFill="1" applyBorder="1" applyAlignment="1">
      <alignment horizontal="center" vertical="center"/>
    </xf>
    <xf numFmtId="9" fontId="19" fillId="2" borderId="1" xfId="1" applyFont="1" applyFill="1" applyBorder="1" applyAlignment="1">
      <alignment horizontal="center" vertical="center"/>
    </xf>
    <xf numFmtId="10" fontId="21" fillId="2" borderId="1" xfId="1" applyNumberFormat="1" applyFont="1" applyFill="1" applyBorder="1" applyAlignment="1">
      <alignment horizontal="center" vertical="center"/>
    </xf>
    <xf numFmtId="188" fontId="20" fillId="2" borderId="1" xfId="1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9" fontId="22" fillId="2" borderId="1" xfId="1" quotePrefix="1" applyFont="1" applyFill="1" applyBorder="1" applyAlignment="1">
      <alignment horizontal="center" vertical="center"/>
    </xf>
    <xf numFmtId="9" fontId="17" fillId="2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19" fillId="3" borderId="1" xfId="0" applyFont="1" applyFill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19" fillId="0" borderId="16" xfId="0" applyFont="1" applyBorder="1"/>
    <xf numFmtId="0" fontId="19" fillId="0" borderId="16" xfId="0" applyFont="1" applyBorder="1" applyAlignment="1">
      <alignment horizontal="center"/>
    </xf>
    <xf numFmtId="0" fontId="19" fillId="0" borderId="15" xfId="0" applyFont="1" applyBorder="1"/>
    <xf numFmtId="0" fontId="19" fillId="0" borderId="15" xfId="0" applyFont="1" applyBorder="1" applyAlignment="1">
      <alignment horizontal="center"/>
    </xf>
    <xf numFmtId="0" fontId="16" fillId="0" borderId="16" xfId="0" applyFont="1" applyBorder="1"/>
    <xf numFmtId="0" fontId="16" fillId="0" borderId="16" xfId="0" applyFont="1" applyBorder="1" applyAlignment="1">
      <alignment horizontal="center"/>
    </xf>
    <xf numFmtId="9" fontId="19" fillId="0" borderId="1" xfId="0" applyNumberFormat="1" applyFont="1" applyBorder="1" applyAlignment="1">
      <alignment horizontal="center" vertical="center"/>
    </xf>
    <xf numFmtId="10" fontId="22" fillId="2" borderId="1" xfId="0" applyNumberFormat="1" applyFont="1" applyFill="1" applyBorder="1" applyAlignment="1">
      <alignment horizontal="center" vertical="center"/>
    </xf>
    <xf numFmtId="9" fontId="17" fillId="2" borderId="1" xfId="1" quotePrefix="1" applyFont="1" applyFill="1" applyBorder="1" applyAlignment="1">
      <alignment horizontal="center" vertical="center"/>
    </xf>
    <xf numFmtId="10" fontId="17" fillId="2" borderId="1" xfId="0" quotePrefix="1" applyNumberFormat="1" applyFont="1" applyFill="1" applyBorder="1" applyAlignment="1">
      <alignment horizontal="center" vertical="center"/>
    </xf>
    <xf numFmtId="9" fontId="19" fillId="2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2" xfId="0" applyFont="1" applyBorder="1" applyAlignment="1">
      <alignment horizontal="center" vertical="center"/>
    </xf>
    <xf numFmtId="9" fontId="19" fillId="0" borderId="2" xfId="0" applyNumberFormat="1" applyFont="1" applyBorder="1" applyAlignment="1">
      <alignment horizontal="center" vertical="center"/>
    </xf>
    <xf numFmtId="9" fontId="17" fillId="2" borderId="1" xfId="0" quotePrefix="1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center"/>
    </xf>
    <xf numFmtId="9" fontId="19" fillId="5" borderId="1" xfId="0" applyNumberFormat="1" applyFont="1" applyFill="1" applyBorder="1" applyAlignment="1">
      <alignment horizontal="center" vertical="center"/>
    </xf>
    <xf numFmtId="0" fontId="26" fillId="0" borderId="0" xfId="0" applyFont="1"/>
    <xf numFmtId="10" fontId="19" fillId="3" borderId="1" xfId="0" applyNumberFormat="1" applyFont="1" applyFill="1" applyBorder="1" applyAlignment="1">
      <alignment horizontal="center" vertical="center"/>
    </xf>
    <xf numFmtId="9" fontId="19" fillId="3" borderId="1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3" borderId="2" xfId="1" applyNumberFormat="1" applyFont="1" applyFill="1" applyBorder="1" applyAlignment="1">
      <alignment horizontal="center" vertical="center"/>
    </xf>
    <xf numFmtId="9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10" fontId="28" fillId="6" borderId="1" xfId="0" applyNumberFormat="1" applyFont="1" applyFill="1" applyBorder="1" applyAlignment="1">
      <alignment horizontal="center" vertical="center"/>
    </xf>
    <xf numFmtId="10" fontId="19" fillId="2" borderId="1" xfId="1" applyNumberFormat="1" applyFont="1" applyFill="1" applyBorder="1" applyAlignment="1">
      <alignment horizontal="center" vertical="center"/>
    </xf>
    <xf numFmtId="10" fontId="28" fillId="6" borderId="2" xfId="0" applyNumberFormat="1" applyFont="1" applyFill="1" applyBorder="1" applyAlignment="1">
      <alignment horizontal="center" vertical="center"/>
    </xf>
    <xf numFmtId="9" fontId="28" fillId="6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vertical="center"/>
    </xf>
    <xf numFmtId="10" fontId="19" fillId="3" borderId="2" xfId="0" applyNumberFormat="1" applyFont="1" applyFill="1" applyBorder="1" applyAlignment="1">
      <alignment horizontal="center" vertical="center"/>
    </xf>
    <xf numFmtId="9" fontId="19" fillId="3" borderId="1" xfId="0" quotePrefix="1" applyNumberFormat="1" applyFont="1" applyFill="1" applyBorder="1" applyAlignment="1">
      <alignment horizontal="center" vertical="center"/>
    </xf>
    <xf numFmtId="9" fontId="19" fillId="3" borderId="2" xfId="0" quotePrefix="1" applyNumberFormat="1" applyFont="1" applyFill="1" applyBorder="1" applyAlignment="1">
      <alignment horizontal="center" vertical="center"/>
    </xf>
    <xf numFmtId="10" fontId="21" fillId="3" borderId="1" xfId="0" applyNumberFormat="1" applyFont="1" applyFill="1" applyBorder="1" applyAlignment="1">
      <alignment horizontal="center" vertical="center"/>
    </xf>
    <xf numFmtId="9" fontId="21" fillId="3" borderId="1" xfId="0" applyNumberFormat="1" applyFont="1" applyFill="1" applyBorder="1" applyAlignment="1">
      <alignment horizontal="center" vertical="center"/>
    </xf>
    <xf numFmtId="9" fontId="28" fillId="6" borderId="2" xfId="0" quotePrefix="1" applyNumberFormat="1" applyFont="1" applyFill="1" applyBorder="1" applyAlignment="1">
      <alignment horizontal="center" vertical="center"/>
    </xf>
    <xf numFmtId="188" fontId="19" fillId="3" borderId="2" xfId="0" applyNumberFormat="1" applyFont="1" applyFill="1" applyBorder="1" applyAlignment="1">
      <alignment horizontal="center" vertical="center"/>
    </xf>
    <xf numFmtId="0" fontId="16" fillId="0" borderId="0" xfId="0" quotePrefix="1" applyFont="1" applyAlignment="1">
      <alignment horizontal="center"/>
    </xf>
    <xf numFmtId="188" fontId="19" fillId="3" borderId="1" xfId="0" applyNumberFormat="1" applyFont="1" applyFill="1" applyBorder="1" applyAlignment="1">
      <alignment horizontal="center" vertical="center"/>
    </xf>
    <xf numFmtId="1" fontId="19" fillId="3" borderId="1" xfId="1" applyNumberFormat="1" applyFont="1" applyFill="1" applyBorder="1" applyAlignment="1">
      <alignment horizontal="center" vertical="center"/>
    </xf>
    <xf numFmtId="1" fontId="19" fillId="2" borderId="1" xfId="1" applyNumberFormat="1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1" fontId="21" fillId="3" borderId="1" xfId="1" applyNumberFormat="1" applyFont="1" applyFill="1" applyBorder="1" applyAlignment="1">
      <alignment horizontal="center" vertical="center"/>
    </xf>
    <xf numFmtId="9" fontId="21" fillId="3" borderId="1" xfId="0" quotePrefix="1" applyNumberFormat="1" applyFont="1" applyFill="1" applyBorder="1" applyAlignment="1">
      <alignment horizontal="center" vertical="center"/>
    </xf>
    <xf numFmtId="9" fontId="21" fillId="3" borderId="2" xfId="0" quotePrefix="1" applyNumberFormat="1" applyFont="1" applyFill="1" applyBorder="1" applyAlignment="1">
      <alignment horizontal="center" vertical="center"/>
    </xf>
    <xf numFmtId="9" fontId="21" fillId="3" borderId="2" xfId="0" applyNumberFormat="1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10" fontId="21" fillId="3" borderId="2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top"/>
    </xf>
    <xf numFmtId="0" fontId="18" fillId="4" borderId="1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1" fillId="2" borderId="0" xfId="2" applyFill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9" fontId="19" fillId="7" borderId="1" xfId="0" applyNumberFormat="1" applyFont="1" applyFill="1" applyBorder="1" applyAlignment="1">
      <alignment horizontal="center" vertical="center"/>
    </xf>
    <xf numFmtId="1" fontId="19" fillId="7" borderId="1" xfId="1" applyNumberFormat="1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050"/>
      <color rgb="FF0000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118845</xdr:colOff>
      <xdr:row>0</xdr:row>
      <xdr:rowOff>190812</xdr:rowOff>
    </xdr:from>
    <xdr:to>
      <xdr:col>3</xdr:col>
      <xdr:colOff>526676</xdr:colOff>
      <xdr:row>3</xdr:row>
      <xdr:rowOff>198440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C61725-D528-6E4D-3C64-7F1DA7757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45" y="190812"/>
          <a:ext cx="1943037" cy="65756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156882</xdr:colOff>
          <xdr:row>75</xdr:row>
          <xdr:rowOff>14270</xdr:rowOff>
        </xdr:from>
        <xdr:to>
          <xdr:col>25</xdr:col>
          <xdr:colOff>24707</xdr:colOff>
          <xdr:row>83</xdr:row>
          <xdr:rowOff>25476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C502751F-B500-1CCD-4B84-6F968845366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D$3:$O$8" spid="_x0000_s151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906000" y="30964917"/>
              <a:ext cx="5986236" cy="1714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647700</xdr:colOff>
      <xdr:row>9</xdr:row>
      <xdr:rowOff>28575</xdr:rowOff>
    </xdr:from>
    <xdr:to>
      <xdr:col>29</xdr:col>
      <xdr:colOff>19050</xdr:colOff>
      <xdr:row>16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204EB-05F4-D51E-1B1E-CA1DB736A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2133600"/>
          <a:ext cx="5915025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file:///\\192.168.88.231\NDC_public\NDC%20MR\6-KPI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file:///\\192.168.88.231\NDC_public\NDC%20MR\6-KPI\KPI%20Year%202025\KPI%20Result%20Year%202025%20(Apr-Dec).xlsx" TargetMode="External"/><Relationship Id="rId1" Type="http://schemas.openxmlformats.org/officeDocument/2006/relationships/hyperlink" Target="file:///\\192.168.88.231\NDC_public\NDC%20MR\6-KPI\KPI%20Year%202025" TargetMode="External"/><Relationship Id="rId6" Type="http://schemas.openxmlformats.org/officeDocument/2006/relationships/hyperlink" Target="file:///\\192.168.88.231\NDC_public\NDC%20MR\6-KPI\KPI%20Year%202025" TargetMode="External"/><Relationship Id="rId5" Type="http://schemas.openxmlformats.org/officeDocument/2006/relationships/hyperlink" Target="file:///\\192.168.88.231\NDC_public\NDC%20MR\6-KPI" TargetMode="External"/><Relationship Id="rId4" Type="http://schemas.openxmlformats.org/officeDocument/2006/relationships/hyperlink" Target="file:///\\192.168.88.231\NDC_public\NDC%20MR\6-KPI\KPI%20Year%202025\KPI%20Result%20Year%202025%20(Apr-Dec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84"/>
  <sheetViews>
    <sheetView showGridLines="0" tabSelected="1" zoomScale="85" zoomScaleNormal="85" zoomScaleSheetLayoutView="85" workbookViewId="0">
      <pane xSplit="9" ySplit="7" topLeftCell="J8" activePane="bottomRight" state="frozen"/>
      <selection pane="topRight" activeCell="J1" sqref="J1"/>
      <selection pane="bottomLeft" activeCell="A8" sqref="A8"/>
      <selection pane="bottomRight" activeCell="K94" sqref="K94"/>
    </sheetView>
  </sheetViews>
  <sheetFormatPr defaultRowHeight="15"/>
  <cols>
    <col min="1" max="1" width="1.75" style="36" customWidth="1"/>
    <col min="2" max="2" width="5.625" style="36" customWidth="1"/>
    <col min="3" max="3" width="12.75" style="36" customWidth="1"/>
    <col min="4" max="4" width="8.25" style="36" customWidth="1"/>
    <col min="5" max="6" width="8.125" style="36" customWidth="1"/>
    <col min="7" max="7" width="7.125" style="36" customWidth="1"/>
    <col min="8" max="8" width="8.125" style="36" customWidth="1"/>
    <col min="9" max="10" width="9.5" style="36" customWidth="1"/>
    <col min="11" max="11" width="10.875" style="36" customWidth="1"/>
    <col min="12" max="23" width="7.625" style="36" customWidth="1"/>
    <col min="24" max="25" width="13.375" style="37" customWidth="1"/>
    <col min="26" max="26" width="1.625" style="36" customWidth="1"/>
    <col min="27" max="36" width="5.625" style="36" customWidth="1"/>
    <col min="37" max="16384" width="9" style="36"/>
  </cols>
  <sheetData>
    <row r="1" spans="2:25" ht="21.75" customHeight="1">
      <c r="F1" s="128" t="s">
        <v>1</v>
      </c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</row>
    <row r="2" spans="2:25" ht="21.75" customHeight="1">
      <c r="F2" s="128" t="s">
        <v>0</v>
      </c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5" ht="6.75" customHeight="1"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</row>
    <row r="4" spans="2:25" s="38" customFormat="1" ht="21.75" customHeight="1">
      <c r="F4" s="129" t="s">
        <v>74</v>
      </c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39" t="s">
        <v>42</v>
      </c>
      <c r="Y4" s="40" t="s">
        <v>161</v>
      </c>
    </row>
    <row r="5" spans="2:25" s="38" customFormat="1" ht="21.75" customHeight="1">
      <c r="F5" s="130" t="s">
        <v>75</v>
      </c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41" t="s">
        <v>41</v>
      </c>
      <c r="Y5" s="42">
        <f ca="1">TODAY()</f>
        <v>46154</v>
      </c>
    </row>
    <row r="6" spans="2:25" s="46" customFormat="1" ht="24.75" customHeight="1">
      <c r="B6" s="43" t="s">
        <v>2</v>
      </c>
      <c r="C6" s="134" t="s">
        <v>3</v>
      </c>
      <c r="D6" s="135"/>
      <c r="E6" s="135"/>
      <c r="F6" s="135"/>
      <c r="G6" s="135"/>
      <c r="H6" s="135"/>
      <c r="I6" s="44" t="s">
        <v>4</v>
      </c>
      <c r="J6" s="44" t="s">
        <v>118</v>
      </c>
      <c r="K6" s="45" t="s">
        <v>25</v>
      </c>
      <c r="L6" s="131" t="s">
        <v>78</v>
      </c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41" t="s">
        <v>76</v>
      </c>
      <c r="Y6" s="41" t="s">
        <v>77</v>
      </c>
    </row>
    <row r="7" spans="2:25" s="46" customFormat="1" ht="24.75" customHeight="1">
      <c r="B7" s="47" t="s">
        <v>27</v>
      </c>
      <c r="C7" s="132" t="s">
        <v>28</v>
      </c>
      <c r="D7" s="133"/>
      <c r="E7" s="133"/>
      <c r="F7" s="133"/>
      <c r="G7" s="133"/>
      <c r="H7" s="133"/>
      <c r="I7" s="48" t="s">
        <v>24</v>
      </c>
      <c r="J7" s="48" t="s">
        <v>119</v>
      </c>
      <c r="K7" s="49" t="s">
        <v>26</v>
      </c>
      <c r="L7" s="50" t="s">
        <v>11</v>
      </c>
      <c r="M7" s="50" t="s">
        <v>12</v>
      </c>
      <c r="N7" s="50" t="s">
        <v>13</v>
      </c>
      <c r="O7" s="50" t="s">
        <v>14</v>
      </c>
      <c r="P7" s="50" t="s">
        <v>15</v>
      </c>
      <c r="Q7" s="50" t="s">
        <v>16</v>
      </c>
      <c r="R7" s="50" t="s">
        <v>5</v>
      </c>
      <c r="S7" s="50" t="s">
        <v>6</v>
      </c>
      <c r="T7" s="50" t="s">
        <v>7</v>
      </c>
      <c r="U7" s="50" t="s">
        <v>8</v>
      </c>
      <c r="V7" s="50" t="s">
        <v>9</v>
      </c>
      <c r="W7" s="50" t="s">
        <v>10</v>
      </c>
      <c r="X7" s="51" t="s">
        <v>154</v>
      </c>
      <c r="Y7" s="41" t="s">
        <v>166</v>
      </c>
    </row>
    <row r="8" spans="2:25" s="56" customFormat="1" ht="35.1" customHeight="1">
      <c r="B8" s="52">
        <v>1</v>
      </c>
      <c r="C8" s="125" t="s">
        <v>121</v>
      </c>
      <c r="D8" s="126"/>
      <c r="E8" s="126"/>
      <c r="F8" s="126"/>
      <c r="G8" s="126"/>
      <c r="H8" s="127"/>
      <c r="I8" s="53" t="s">
        <v>79</v>
      </c>
      <c r="J8" s="87" t="s">
        <v>120</v>
      </c>
      <c r="K8" s="53" t="s">
        <v>17</v>
      </c>
      <c r="L8" s="100">
        <v>0.74299999999999999</v>
      </c>
      <c r="M8" s="110">
        <v>1</v>
      </c>
      <c r="N8" s="94">
        <v>1</v>
      </c>
      <c r="O8" s="93">
        <v>0.84299999999999997</v>
      </c>
      <c r="P8" s="58"/>
      <c r="Q8" s="58"/>
      <c r="R8" s="58"/>
      <c r="S8" s="58"/>
      <c r="T8" s="58"/>
      <c r="U8" s="58"/>
      <c r="V8" s="58"/>
      <c r="W8" s="58"/>
      <c r="X8" s="55"/>
      <c r="Y8" s="53"/>
    </row>
    <row r="9" spans="2:25" s="56" customFormat="1" ht="35.1" customHeight="1">
      <c r="B9" s="52">
        <f>B8+1</f>
        <v>2</v>
      </c>
      <c r="C9" s="125" t="s">
        <v>123</v>
      </c>
      <c r="D9" s="126"/>
      <c r="E9" s="126"/>
      <c r="F9" s="126"/>
      <c r="G9" s="126"/>
      <c r="H9" s="127"/>
      <c r="I9" s="53" t="s">
        <v>80</v>
      </c>
      <c r="J9" s="87" t="s">
        <v>120</v>
      </c>
      <c r="K9" s="53" t="s">
        <v>17</v>
      </c>
      <c r="L9" s="93">
        <v>5.1999999999999998E-3</v>
      </c>
      <c r="M9" s="109">
        <v>4.4999999999999997E-3</v>
      </c>
      <c r="N9" s="100">
        <v>0.16700000000000001</v>
      </c>
      <c r="O9" s="93">
        <v>5.0000000000000001E-3</v>
      </c>
      <c r="P9" s="58"/>
      <c r="Q9" s="58"/>
      <c r="R9" s="101"/>
      <c r="S9" s="101"/>
      <c r="T9" s="101"/>
      <c r="U9" s="60"/>
      <c r="V9" s="60"/>
      <c r="W9" s="60"/>
      <c r="X9" s="57"/>
      <c r="Y9" s="53"/>
    </row>
    <row r="10" spans="2:25" s="56" customFormat="1" ht="35.1" customHeight="1">
      <c r="B10" s="52">
        <f t="shared" ref="B10:B13" si="0">B9+1</f>
        <v>3</v>
      </c>
      <c r="C10" s="125" t="s">
        <v>124</v>
      </c>
      <c r="D10" s="126"/>
      <c r="E10" s="126"/>
      <c r="F10" s="126"/>
      <c r="G10" s="126"/>
      <c r="H10" s="127"/>
      <c r="I10" s="53" t="s">
        <v>79</v>
      </c>
      <c r="J10" s="87" t="s">
        <v>120</v>
      </c>
      <c r="K10" s="53" t="s">
        <v>17</v>
      </c>
      <c r="L10" s="94">
        <v>1</v>
      </c>
      <c r="M10" s="110">
        <v>0.94599999999999995</v>
      </c>
      <c r="N10" s="110">
        <v>1</v>
      </c>
      <c r="O10" s="93">
        <v>0.97299999999999998</v>
      </c>
      <c r="P10" s="54"/>
      <c r="Q10" s="54"/>
      <c r="R10" s="54"/>
      <c r="S10" s="54"/>
      <c r="T10" s="54"/>
      <c r="U10" s="54"/>
      <c r="V10" s="54"/>
      <c r="W10" s="54"/>
      <c r="X10" s="55"/>
      <c r="Y10" s="53"/>
    </row>
    <row r="11" spans="2:25" s="56" customFormat="1" ht="35.1" customHeight="1">
      <c r="B11" s="52">
        <f t="shared" si="0"/>
        <v>4</v>
      </c>
      <c r="C11" s="125" t="s">
        <v>125</v>
      </c>
      <c r="D11" s="126"/>
      <c r="E11" s="126"/>
      <c r="F11" s="126"/>
      <c r="G11" s="126"/>
      <c r="H11" s="127"/>
      <c r="I11" s="78">
        <v>1</v>
      </c>
      <c r="J11" s="87" t="s">
        <v>120</v>
      </c>
      <c r="K11" s="53" t="s">
        <v>81</v>
      </c>
      <c r="L11" s="94">
        <v>1</v>
      </c>
      <c r="M11" s="94">
        <v>1</v>
      </c>
      <c r="N11" s="110">
        <v>1</v>
      </c>
      <c r="O11" s="94">
        <v>1</v>
      </c>
      <c r="P11" s="54"/>
      <c r="Q11" s="54"/>
      <c r="R11" s="54"/>
      <c r="S11" s="54"/>
      <c r="T11" s="54"/>
      <c r="U11" s="54"/>
      <c r="V11" s="54"/>
      <c r="W11" s="54"/>
      <c r="X11" s="63"/>
      <c r="Y11" s="53"/>
    </row>
    <row r="12" spans="2:25" s="56" customFormat="1" ht="35.1" customHeight="1">
      <c r="B12" s="52">
        <f t="shared" si="0"/>
        <v>5</v>
      </c>
      <c r="C12" s="125" t="s">
        <v>156</v>
      </c>
      <c r="D12" s="126"/>
      <c r="E12" s="126"/>
      <c r="F12" s="126"/>
      <c r="G12" s="126"/>
      <c r="H12" s="127"/>
      <c r="I12" s="53" t="s">
        <v>79</v>
      </c>
      <c r="J12" s="87" t="s">
        <v>120</v>
      </c>
      <c r="K12" s="53" t="s">
        <v>18</v>
      </c>
      <c r="L12" s="94">
        <v>1</v>
      </c>
      <c r="M12" s="94">
        <v>1</v>
      </c>
      <c r="N12" s="110">
        <v>0.95</v>
      </c>
      <c r="O12" s="156"/>
      <c r="P12" s="54"/>
      <c r="Q12" s="54"/>
      <c r="R12" s="54"/>
      <c r="S12" s="54"/>
      <c r="T12" s="54"/>
      <c r="U12" s="54"/>
      <c r="V12" s="54"/>
      <c r="W12" s="54"/>
      <c r="X12" s="63"/>
      <c r="Y12" s="53"/>
    </row>
    <row r="13" spans="2:25" s="56" customFormat="1" ht="35.1" customHeight="1">
      <c r="B13" s="52">
        <f t="shared" si="0"/>
        <v>6</v>
      </c>
      <c r="C13" s="125" t="s">
        <v>126</v>
      </c>
      <c r="D13" s="126"/>
      <c r="E13" s="126"/>
      <c r="F13" s="126"/>
      <c r="G13" s="126"/>
      <c r="H13" s="127"/>
      <c r="I13" s="53" t="s">
        <v>82</v>
      </c>
      <c r="J13" s="87" t="s">
        <v>120</v>
      </c>
      <c r="K13" s="53" t="s">
        <v>18</v>
      </c>
      <c r="L13" s="93">
        <v>2.8999999999999998E-3</v>
      </c>
      <c r="M13" s="93">
        <v>3.0999999999999999E-3</v>
      </c>
      <c r="N13" s="109">
        <v>5.8999999999999999E-3</v>
      </c>
      <c r="O13" s="156"/>
      <c r="P13" s="54"/>
      <c r="Q13" s="54"/>
      <c r="R13" s="54"/>
      <c r="S13" s="54"/>
      <c r="T13" s="54"/>
      <c r="U13" s="54"/>
      <c r="V13" s="54"/>
      <c r="W13" s="54"/>
      <c r="X13" s="55"/>
      <c r="Y13" s="53"/>
    </row>
    <row r="14" spans="2:25" s="56" customFormat="1" ht="35.1" customHeight="1">
      <c r="B14" s="52">
        <f t="shared" ref="B14:B66" si="1">B13+1</f>
        <v>7</v>
      </c>
      <c r="C14" s="125" t="s">
        <v>127</v>
      </c>
      <c r="D14" s="126"/>
      <c r="E14" s="126"/>
      <c r="F14" s="126"/>
      <c r="G14" s="126"/>
      <c r="H14" s="127"/>
      <c r="I14" s="53">
        <v>0</v>
      </c>
      <c r="J14" s="87" t="s">
        <v>120</v>
      </c>
      <c r="K14" s="53" t="s">
        <v>18</v>
      </c>
      <c r="L14" s="115">
        <v>0</v>
      </c>
      <c r="M14" s="115">
        <v>0</v>
      </c>
      <c r="N14" s="118">
        <v>0</v>
      </c>
      <c r="O14" s="157"/>
      <c r="P14" s="116"/>
      <c r="Q14" s="116"/>
      <c r="R14" s="116"/>
      <c r="S14" s="116"/>
      <c r="T14" s="116"/>
      <c r="U14" s="116"/>
      <c r="V14" s="116"/>
      <c r="W14" s="116"/>
      <c r="X14" s="64"/>
      <c r="Y14" s="53"/>
    </row>
    <row r="15" spans="2:25" s="56" customFormat="1" ht="35.1" customHeight="1">
      <c r="B15" s="52">
        <f t="shared" si="1"/>
        <v>8</v>
      </c>
      <c r="C15" s="125" t="s">
        <v>158</v>
      </c>
      <c r="D15" s="126"/>
      <c r="E15" s="126"/>
      <c r="F15" s="126"/>
      <c r="G15" s="126"/>
      <c r="H15" s="127"/>
      <c r="I15" s="53" t="s">
        <v>157</v>
      </c>
      <c r="J15" s="87" t="s">
        <v>120</v>
      </c>
      <c r="K15" s="53" t="s">
        <v>18</v>
      </c>
      <c r="L15" s="107" t="s">
        <v>160</v>
      </c>
      <c r="M15" s="93">
        <v>0.92310000000000003</v>
      </c>
      <c r="N15" s="109">
        <v>0.94740000000000002</v>
      </c>
      <c r="O15" s="156"/>
      <c r="P15" s="54"/>
      <c r="Q15" s="54"/>
      <c r="R15" s="54"/>
      <c r="S15" s="54"/>
      <c r="T15" s="54"/>
      <c r="U15" s="54"/>
      <c r="V15" s="54"/>
      <c r="W15" s="54"/>
      <c r="X15" s="64"/>
      <c r="Y15" s="53"/>
    </row>
    <row r="16" spans="2:25" s="56" customFormat="1" ht="35.1" customHeight="1">
      <c r="B16" s="52">
        <f t="shared" si="1"/>
        <v>9</v>
      </c>
      <c r="C16" s="125" t="s">
        <v>159</v>
      </c>
      <c r="D16" s="126"/>
      <c r="E16" s="126"/>
      <c r="F16" s="126"/>
      <c r="G16" s="126"/>
      <c r="H16" s="127"/>
      <c r="I16" s="53" t="s">
        <v>157</v>
      </c>
      <c r="J16" s="87" t="s">
        <v>120</v>
      </c>
      <c r="K16" s="53" t="s">
        <v>18</v>
      </c>
      <c r="L16" s="107" t="s">
        <v>160</v>
      </c>
      <c r="M16" s="100">
        <v>0.5333</v>
      </c>
      <c r="N16" s="110">
        <v>1</v>
      </c>
      <c r="O16" s="156"/>
      <c r="P16" s="54"/>
      <c r="Q16" s="54"/>
      <c r="R16" s="54"/>
      <c r="S16" s="54"/>
      <c r="T16" s="54"/>
      <c r="U16" s="54"/>
      <c r="V16" s="54"/>
      <c r="W16" s="54"/>
      <c r="X16" s="64"/>
      <c r="Y16" s="53"/>
    </row>
    <row r="17" spans="2:25" s="56" customFormat="1" ht="35.1" customHeight="1">
      <c r="B17" s="52">
        <f t="shared" si="1"/>
        <v>10</v>
      </c>
      <c r="C17" s="125" t="s">
        <v>128</v>
      </c>
      <c r="D17" s="126"/>
      <c r="E17" s="126"/>
      <c r="F17" s="126"/>
      <c r="G17" s="126"/>
      <c r="H17" s="127"/>
      <c r="I17" s="53" t="s">
        <v>47</v>
      </c>
      <c r="J17" s="87" t="s">
        <v>120</v>
      </c>
      <c r="K17" s="53" t="s">
        <v>19</v>
      </c>
      <c r="L17" s="100">
        <v>0.78569999999999995</v>
      </c>
      <c r="M17" s="93">
        <v>0.94120000000000004</v>
      </c>
      <c r="N17" s="109">
        <v>0.96299999999999997</v>
      </c>
      <c r="O17" s="93">
        <v>0.97799999999999998</v>
      </c>
      <c r="P17" s="58"/>
      <c r="Q17" s="58"/>
      <c r="R17" s="58"/>
      <c r="S17" s="58"/>
      <c r="T17" s="58"/>
      <c r="U17" s="58"/>
      <c r="V17" s="58"/>
      <c r="W17" s="58"/>
      <c r="X17" s="64"/>
      <c r="Y17" s="53"/>
    </row>
    <row r="18" spans="2:25" s="56" customFormat="1" ht="35.1" customHeight="1">
      <c r="B18" s="52">
        <f t="shared" si="1"/>
        <v>11</v>
      </c>
      <c r="C18" s="125" t="s">
        <v>129</v>
      </c>
      <c r="D18" s="126"/>
      <c r="E18" s="126"/>
      <c r="F18" s="126"/>
      <c r="G18" s="126"/>
      <c r="H18" s="127"/>
      <c r="I18" s="78" t="s">
        <v>47</v>
      </c>
      <c r="J18" s="87" t="s">
        <v>120</v>
      </c>
      <c r="K18" s="53" t="s">
        <v>19</v>
      </c>
      <c r="L18" s="94">
        <v>1</v>
      </c>
      <c r="M18" s="94">
        <v>1</v>
      </c>
      <c r="N18" s="110">
        <v>1</v>
      </c>
      <c r="O18" s="94">
        <v>1</v>
      </c>
      <c r="P18" s="54"/>
      <c r="Q18" s="58"/>
      <c r="R18" s="59"/>
      <c r="S18" s="61"/>
      <c r="T18" s="59"/>
      <c r="U18" s="60"/>
      <c r="V18" s="60"/>
      <c r="W18" s="60"/>
      <c r="X18" s="79"/>
      <c r="Y18" s="78"/>
    </row>
    <row r="19" spans="2:25" s="56" customFormat="1" ht="35.1" customHeight="1">
      <c r="B19" s="52">
        <f t="shared" si="1"/>
        <v>12</v>
      </c>
      <c r="C19" s="125" t="s">
        <v>130</v>
      </c>
      <c r="D19" s="126"/>
      <c r="E19" s="126"/>
      <c r="F19" s="126"/>
      <c r="G19" s="126"/>
      <c r="H19" s="127"/>
      <c r="I19" s="78" t="s">
        <v>47</v>
      </c>
      <c r="J19" s="87" t="s">
        <v>120</v>
      </c>
      <c r="K19" s="53" t="s">
        <v>48</v>
      </c>
      <c r="L19" s="94">
        <v>1</v>
      </c>
      <c r="M19" s="94">
        <v>1</v>
      </c>
      <c r="N19" s="110">
        <v>1</v>
      </c>
      <c r="O19" s="94">
        <v>1</v>
      </c>
      <c r="P19" s="54"/>
      <c r="Q19" s="54"/>
      <c r="R19" s="54"/>
      <c r="S19" s="58"/>
      <c r="T19" s="57"/>
      <c r="U19" s="57"/>
      <c r="V19" s="58"/>
      <c r="W19" s="58"/>
      <c r="X19" s="55"/>
      <c r="Y19" s="78"/>
    </row>
    <row r="20" spans="2:25" s="56" customFormat="1" ht="35.1" customHeight="1">
      <c r="B20" s="52">
        <f t="shared" si="1"/>
        <v>13</v>
      </c>
      <c r="C20" s="125" t="s">
        <v>131</v>
      </c>
      <c r="D20" s="126"/>
      <c r="E20" s="126"/>
      <c r="F20" s="126"/>
      <c r="G20" s="126"/>
      <c r="H20" s="127"/>
      <c r="I20" s="78" t="s">
        <v>47</v>
      </c>
      <c r="J20" s="87" t="s">
        <v>120</v>
      </c>
      <c r="K20" s="53" t="s">
        <v>48</v>
      </c>
      <c r="L20" s="94">
        <v>1</v>
      </c>
      <c r="M20" s="94">
        <v>1</v>
      </c>
      <c r="N20" s="110">
        <v>1</v>
      </c>
      <c r="O20" s="94">
        <v>1</v>
      </c>
      <c r="P20" s="54"/>
      <c r="Q20" s="54"/>
      <c r="R20" s="54"/>
      <c r="S20" s="54"/>
      <c r="T20" s="54"/>
      <c r="U20" s="54"/>
      <c r="V20" s="54"/>
      <c r="W20" s="54"/>
      <c r="X20" s="64"/>
      <c r="Y20" s="53"/>
    </row>
    <row r="21" spans="2:25" s="56" customFormat="1" ht="35.1" customHeight="1">
      <c r="B21" s="52">
        <f t="shared" si="1"/>
        <v>14</v>
      </c>
      <c r="C21" s="125" t="s">
        <v>132</v>
      </c>
      <c r="D21" s="126"/>
      <c r="E21" s="126"/>
      <c r="F21" s="126"/>
      <c r="G21" s="126"/>
      <c r="H21" s="127"/>
      <c r="I21" s="78" t="s">
        <v>47</v>
      </c>
      <c r="J21" s="87" t="s">
        <v>120</v>
      </c>
      <c r="K21" s="53" t="s">
        <v>48</v>
      </c>
      <c r="L21" s="93">
        <v>0.98319999999999996</v>
      </c>
      <c r="M21" s="94">
        <v>1</v>
      </c>
      <c r="N21" s="109">
        <v>0.97299999999999998</v>
      </c>
      <c r="O21" s="93">
        <v>0.98409999999999997</v>
      </c>
      <c r="P21" s="54"/>
      <c r="Q21" s="54"/>
      <c r="R21" s="54"/>
      <c r="S21" s="54"/>
      <c r="T21" s="54"/>
      <c r="U21" s="54"/>
      <c r="V21" s="54"/>
      <c r="W21" s="54"/>
      <c r="X21" s="64"/>
      <c r="Y21" s="53"/>
    </row>
    <row r="22" spans="2:25" s="56" customFormat="1" ht="35.1" customHeight="1">
      <c r="B22" s="52">
        <f t="shared" si="1"/>
        <v>15</v>
      </c>
      <c r="C22" s="125" t="s">
        <v>133</v>
      </c>
      <c r="D22" s="126"/>
      <c r="E22" s="126"/>
      <c r="F22" s="126"/>
      <c r="G22" s="126"/>
      <c r="H22" s="127"/>
      <c r="I22" s="78" t="s">
        <v>47</v>
      </c>
      <c r="J22" s="87" t="s">
        <v>120</v>
      </c>
      <c r="K22" s="53" t="s">
        <v>21</v>
      </c>
      <c r="L22" s="94">
        <v>1</v>
      </c>
      <c r="M22" s="94">
        <v>1</v>
      </c>
      <c r="N22" s="110">
        <v>1</v>
      </c>
      <c r="O22" s="94">
        <v>1</v>
      </c>
      <c r="P22" s="54"/>
      <c r="Q22" s="58"/>
      <c r="R22" s="59"/>
      <c r="S22" s="61"/>
      <c r="T22" s="59"/>
      <c r="U22" s="60"/>
      <c r="V22" s="60"/>
      <c r="W22" s="60"/>
      <c r="X22" s="55"/>
      <c r="Y22" s="53"/>
    </row>
    <row r="23" spans="2:25" s="56" customFormat="1" ht="35.1" customHeight="1">
      <c r="B23" s="52">
        <f t="shared" si="1"/>
        <v>16</v>
      </c>
      <c r="C23" s="125" t="s">
        <v>134</v>
      </c>
      <c r="D23" s="126"/>
      <c r="E23" s="126"/>
      <c r="F23" s="126"/>
      <c r="G23" s="126"/>
      <c r="H23" s="127"/>
      <c r="I23" s="78" t="s">
        <v>47</v>
      </c>
      <c r="J23" s="87" t="s">
        <v>120</v>
      </c>
      <c r="K23" s="53" t="s">
        <v>21</v>
      </c>
      <c r="L23" s="94">
        <v>1</v>
      </c>
      <c r="M23" s="94">
        <v>1</v>
      </c>
      <c r="N23" s="110">
        <v>1</v>
      </c>
      <c r="O23" s="100">
        <v>0.83330000000000004</v>
      </c>
      <c r="P23" s="54"/>
      <c r="Q23" s="58"/>
      <c r="R23" s="59"/>
      <c r="S23" s="61"/>
      <c r="T23" s="59"/>
      <c r="U23" s="60"/>
      <c r="V23" s="60"/>
      <c r="W23" s="60"/>
      <c r="X23" s="57"/>
      <c r="Y23" s="53"/>
    </row>
    <row r="24" spans="2:25" s="56" customFormat="1" ht="35.1" customHeight="1">
      <c r="B24" s="52">
        <f t="shared" si="1"/>
        <v>17</v>
      </c>
      <c r="C24" s="125" t="s">
        <v>135</v>
      </c>
      <c r="D24" s="126"/>
      <c r="E24" s="126"/>
      <c r="F24" s="126"/>
      <c r="G24" s="126"/>
      <c r="H24" s="127"/>
      <c r="I24" s="78">
        <v>1</v>
      </c>
      <c r="J24" s="87" t="s">
        <v>120</v>
      </c>
      <c r="K24" s="53" t="s">
        <v>21</v>
      </c>
      <c r="L24" s="94">
        <v>1</v>
      </c>
      <c r="M24" s="94">
        <v>1</v>
      </c>
      <c r="N24" s="110">
        <v>1</v>
      </c>
      <c r="O24" s="94">
        <v>1</v>
      </c>
      <c r="P24" s="54"/>
      <c r="Q24" s="58"/>
      <c r="R24" s="59"/>
      <c r="S24" s="61"/>
      <c r="T24" s="59"/>
      <c r="U24" s="60"/>
      <c r="V24" s="60"/>
      <c r="W24" s="60"/>
      <c r="X24" s="57"/>
      <c r="Y24" s="78"/>
    </row>
    <row r="25" spans="2:25" s="56" customFormat="1" ht="35.1" customHeight="1">
      <c r="B25" s="52">
        <f t="shared" si="1"/>
        <v>18</v>
      </c>
      <c r="C25" s="125" t="s">
        <v>136</v>
      </c>
      <c r="D25" s="126"/>
      <c r="E25" s="126"/>
      <c r="F25" s="126"/>
      <c r="G25" s="126"/>
      <c r="H25" s="127"/>
      <c r="I25" s="78">
        <v>1</v>
      </c>
      <c r="J25" s="87" t="s">
        <v>120</v>
      </c>
      <c r="K25" s="53" t="s">
        <v>21</v>
      </c>
      <c r="L25" s="94">
        <v>1</v>
      </c>
      <c r="M25" s="94">
        <v>1</v>
      </c>
      <c r="N25" s="110">
        <v>1</v>
      </c>
      <c r="O25" s="94">
        <v>1</v>
      </c>
      <c r="P25" s="54"/>
      <c r="Q25" s="58"/>
      <c r="R25" s="59"/>
      <c r="S25" s="61"/>
      <c r="T25" s="59"/>
      <c r="U25" s="60"/>
      <c r="V25" s="60"/>
      <c r="W25" s="60"/>
      <c r="X25" s="80"/>
      <c r="Y25" s="53"/>
    </row>
    <row r="26" spans="2:25" s="56" customFormat="1" ht="35.1" customHeight="1">
      <c r="B26" s="52">
        <f t="shared" si="1"/>
        <v>19</v>
      </c>
      <c r="C26" s="125" t="s">
        <v>137</v>
      </c>
      <c r="D26" s="126"/>
      <c r="E26" s="126"/>
      <c r="F26" s="126"/>
      <c r="G26" s="126"/>
      <c r="H26" s="127"/>
      <c r="I26" s="78">
        <v>1</v>
      </c>
      <c r="J26" s="87" t="s">
        <v>120</v>
      </c>
      <c r="K26" s="53" t="s">
        <v>21</v>
      </c>
      <c r="L26" s="94">
        <v>1</v>
      </c>
      <c r="M26" s="94">
        <v>1</v>
      </c>
      <c r="N26" s="110">
        <v>1</v>
      </c>
      <c r="O26" s="94">
        <v>1</v>
      </c>
      <c r="P26" s="54"/>
      <c r="Q26" s="58"/>
      <c r="R26" s="59"/>
      <c r="S26" s="61"/>
      <c r="T26" s="59"/>
      <c r="U26" s="60"/>
      <c r="V26" s="60"/>
      <c r="W26" s="60"/>
      <c r="X26" s="81"/>
      <c r="Y26" s="53"/>
    </row>
    <row r="27" spans="2:25" s="83" customFormat="1" ht="35.1" customHeight="1">
      <c r="B27" s="52">
        <f t="shared" si="1"/>
        <v>20</v>
      </c>
      <c r="C27" s="125" t="s">
        <v>138</v>
      </c>
      <c r="D27" s="126"/>
      <c r="E27" s="126"/>
      <c r="F27" s="126"/>
      <c r="G27" s="126"/>
      <c r="H27" s="127"/>
      <c r="I27" s="78">
        <v>1</v>
      </c>
      <c r="J27" s="87" t="s">
        <v>120</v>
      </c>
      <c r="K27" s="53" t="s">
        <v>21</v>
      </c>
      <c r="L27" s="94">
        <v>1</v>
      </c>
      <c r="M27" s="94">
        <v>1</v>
      </c>
      <c r="N27" s="110">
        <v>1</v>
      </c>
      <c r="O27" s="94">
        <v>1</v>
      </c>
      <c r="P27" s="54"/>
      <c r="Q27" s="58"/>
      <c r="R27" s="59"/>
      <c r="S27" s="61"/>
      <c r="T27" s="59"/>
      <c r="U27" s="60"/>
      <c r="V27" s="60"/>
      <c r="W27" s="60"/>
      <c r="X27" s="57"/>
      <c r="Y27" s="99"/>
    </row>
    <row r="28" spans="2:25" s="83" customFormat="1" ht="35.1" customHeight="1">
      <c r="B28" s="52">
        <f t="shared" si="1"/>
        <v>21</v>
      </c>
      <c r="C28" s="125" t="s">
        <v>139</v>
      </c>
      <c r="D28" s="126"/>
      <c r="E28" s="126"/>
      <c r="F28" s="126"/>
      <c r="G28" s="126"/>
      <c r="H28" s="127"/>
      <c r="I28" s="78" t="s">
        <v>47</v>
      </c>
      <c r="J28" s="87" t="s">
        <v>120</v>
      </c>
      <c r="K28" s="53" t="s">
        <v>22</v>
      </c>
      <c r="L28" s="107">
        <v>1</v>
      </c>
      <c r="M28" s="107">
        <v>0.83</v>
      </c>
      <c r="N28" s="119">
        <v>0.9</v>
      </c>
      <c r="O28" s="100">
        <v>0.82499999999999996</v>
      </c>
      <c r="P28" s="54"/>
      <c r="Q28" s="54"/>
      <c r="R28" s="54"/>
      <c r="S28" s="54"/>
      <c r="T28" s="54"/>
      <c r="U28" s="54"/>
      <c r="V28" s="54"/>
      <c r="W28" s="54"/>
      <c r="X28" s="64"/>
      <c r="Y28" s="53"/>
    </row>
    <row r="29" spans="2:25" s="83" customFormat="1" ht="35.1" customHeight="1">
      <c r="B29" s="52">
        <f t="shared" si="1"/>
        <v>22</v>
      </c>
      <c r="C29" s="125" t="s">
        <v>140</v>
      </c>
      <c r="D29" s="126"/>
      <c r="E29" s="126"/>
      <c r="F29" s="126"/>
      <c r="G29" s="126"/>
      <c r="H29" s="127"/>
      <c r="I29" s="85" t="s">
        <v>49</v>
      </c>
      <c r="J29" s="87" t="s">
        <v>120</v>
      </c>
      <c r="K29" s="84" t="s">
        <v>22</v>
      </c>
      <c r="L29" s="108">
        <v>1</v>
      </c>
      <c r="M29" s="111">
        <v>0</v>
      </c>
      <c r="N29" s="120">
        <v>1</v>
      </c>
      <c r="O29" s="97">
        <v>1</v>
      </c>
      <c r="P29" s="82"/>
      <c r="Q29" s="82"/>
      <c r="R29" s="82"/>
      <c r="S29" s="82"/>
      <c r="T29" s="82"/>
      <c r="U29" s="82"/>
      <c r="V29" s="82"/>
      <c r="W29" s="82"/>
      <c r="X29" s="55"/>
      <c r="Y29" s="84"/>
    </row>
    <row r="30" spans="2:25" s="90" customFormat="1" ht="35.1" customHeight="1">
      <c r="B30" s="88">
        <f t="shared" si="1"/>
        <v>23</v>
      </c>
      <c r="C30" s="136" t="s">
        <v>141</v>
      </c>
      <c r="D30" s="137"/>
      <c r="E30" s="137"/>
      <c r="F30" s="137"/>
      <c r="G30" s="137"/>
      <c r="H30" s="138"/>
      <c r="I30" s="62">
        <v>1</v>
      </c>
      <c r="J30" s="89" t="s">
        <v>122</v>
      </c>
      <c r="K30" s="62" t="s">
        <v>22</v>
      </c>
      <c r="L30" s="91" t="s">
        <v>153</v>
      </c>
      <c r="M30" s="91" t="s">
        <v>153</v>
      </c>
      <c r="N30" s="117">
        <v>0</v>
      </c>
      <c r="O30" s="91" t="s">
        <v>153</v>
      </c>
      <c r="P30" s="91" t="s">
        <v>153</v>
      </c>
      <c r="Q30" s="62"/>
      <c r="R30" s="91" t="s">
        <v>153</v>
      </c>
      <c r="S30" s="91" t="s">
        <v>153</v>
      </c>
      <c r="T30" s="62"/>
      <c r="U30" s="91" t="s">
        <v>153</v>
      </c>
      <c r="V30" s="91" t="s">
        <v>153</v>
      </c>
      <c r="W30" s="62"/>
      <c r="X30" s="64"/>
      <c r="Y30" s="62"/>
    </row>
    <row r="31" spans="2:25" s="56" customFormat="1" ht="35.1" customHeight="1">
      <c r="B31" s="52">
        <f t="shared" si="1"/>
        <v>24</v>
      </c>
      <c r="C31" s="125" t="s">
        <v>142</v>
      </c>
      <c r="D31" s="126"/>
      <c r="E31" s="126"/>
      <c r="F31" s="126"/>
      <c r="G31" s="126"/>
      <c r="H31" s="127"/>
      <c r="I31" s="78" t="s">
        <v>49</v>
      </c>
      <c r="J31" s="87" t="s">
        <v>120</v>
      </c>
      <c r="K31" s="84" t="s">
        <v>83</v>
      </c>
      <c r="L31" s="97">
        <v>1</v>
      </c>
      <c r="M31" s="97">
        <v>0.95</v>
      </c>
      <c r="N31" s="121">
        <v>0.95</v>
      </c>
      <c r="O31" s="94">
        <v>1</v>
      </c>
      <c r="P31" s="54"/>
      <c r="Q31" s="82"/>
      <c r="R31" s="82"/>
      <c r="S31" s="82"/>
      <c r="T31" s="82"/>
      <c r="U31" s="82"/>
      <c r="V31" s="82"/>
      <c r="W31" s="82"/>
      <c r="X31" s="64"/>
      <c r="Y31" s="84"/>
    </row>
    <row r="32" spans="2:25" s="56" customFormat="1" ht="35.1" customHeight="1">
      <c r="B32" s="52">
        <f t="shared" si="1"/>
        <v>25</v>
      </c>
      <c r="C32" s="125" t="s">
        <v>143</v>
      </c>
      <c r="D32" s="126"/>
      <c r="E32" s="126"/>
      <c r="F32" s="126"/>
      <c r="G32" s="126"/>
      <c r="H32" s="127"/>
      <c r="I32" s="84" t="s">
        <v>49</v>
      </c>
      <c r="J32" s="87" t="s">
        <v>120</v>
      </c>
      <c r="K32" s="84" t="s">
        <v>83</v>
      </c>
      <c r="L32" s="97">
        <v>1</v>
      </c>
      <c r="M32" s="97">
        <v>0.95</v>
      </c>
      <c r="N32" s="121">
        <v>0.95</v>
      </c>
      <c r="O32" s="94">
        <v>1</v>
      </c>
      <c r="P32" s="54"/>
      <c r="Q32" s="82"/>
      <c r="R32" s="82"/>
      <c r="S32" s="82"/>
      <c r="T32" s="82"/>
      <c r="U32" s="82"/>
      <c r="V32" s="82"/>
      <c r="W32" s="82"/>
      <c r="X32" s="55"/>
      <c r="Y32" s="84"/>
    </row>
    <row r="33" spans="2:25" s="56" customFormat="1" ht="57" customHeight="1">
      <c r="B33" s="52">
        <f t="shared" si="1"/>
        <v>26</v>
      </c>
      <c r="C33" s="125" t="s">
        <v>86</v>
      </c>
      <c r="D33" s="126"/>
      <c r="E33" s="126"/>
      <c r="F33" s="126"/>
      <c r="G33" s="126"/>
      <c r="H33" s="127"/>
      <c r="I33" s="53" t="s">
        <v>84</v>
      </c>
      <c r="J33" s="87" t="s">
        <v>120</v>
      </c>
      <c r="K33" s="84" t="s">
        <v>23</v>
      </c>
      <c r="L33" s="96">
        <v>0</v>
      </c>
      <c r="M33" s="98">
        <v>0</v>
      </c>
      <c r="N33" s="122">
        <v>0</v>
      </c>
      <c r="O33" s="98">
        <v>0</v>
      </c>
      <c r="P33" s="95"/>
      <c r="Q33" s="95"/>
      <c r="R33" s="95"/>
      <c r="S33" s="95"/>
      <c r="T33" s="95"/>
      <c r="U33" s="95"/>
      <c r="V33" s="95"/>
      <c r="W33" s="95"/>
      <c r="X33" s="55"/>
      <c r="Y33" s="84"/>
    </row>
    <row r="34" spans="2:25" s="56" customFormat="1" ht="50.1" customHeight="1">
      <c r="B34" s="52">
        <f t="shared" si="1"/>
        <v>27</v>
      </c>
      <c r="C34" s="125" t="s">
        <v>87</v>
      </c>
      <c r="D34" s="126"/>
      <c r="E34" s="126"/>
      <c r="F34" s="126"/>
      <c r="G34" s="126"/>
      <c r="H34" s="127"/>
      <c r="I34" s="78" t="s">
        <v>85</v>
      </c>
      <c r="J34" s="87" t="s">
        <v>120</v>
      </c>
      <c r="K34" s="84" t="s">
        <v>23</v>
      </c>
      <c r="L34" s="97">
        <v>1</v>
      </c>
      <c r="M34" s="112">
        <v>0.96799999999999997</v>
      </c>
      <c r="N34" s="121">
        <v>1</v>
      </c>
      <c r="O34" s="97">
        <v>1</v>
      </c>
      <c r="P34" s="82"/>
      <c r="Q34" s="82"/>
      <c r="R34" s="82"/>
      <c r="S34" s="82"/>
      <c r="T34" s="82"/>
      <c r="U34" s="82"/>
      <c r="V34" s="82"/>
      <c r="W34" s="82"/>
      <c r="X34" s="64"/>
      <c r="Y34" s="84"/>
    </row>
    <row r="35" spans="2:25" s="56" customFormat="1" ht="35.1" customHeight="1">
      <c r="B35" s="52">
        <f t="shared" si="1"/>
        <v>28</v>
      </c>
      <c r="C35" s="125" t="s">
        <v>88</v>
      </c>
      <c r="D35" s="126"/>
      <c r="E35" s="126"/>
      <c r="F35" s="126"/>
      <c r="G35" s="126"/>
      <c r="H35" s="127"/>
      <c r="I35" s="84" t="s">
        <v>84</v>
      </c>
      <c r="J35" s="87" t="s">
        <v>120</v>
      </c>
      <c r="K35" s="84" t="s">
        <v>23</v>
      </c>
      <c r="L35" s="98">
        <v>0</v>
      </c>
      <c r="M35" s="98">
        <v>0</v>
      </c>
      <c r="N35" s="122">
        <v>0</v>
      </c>
      <c r="O35" s="98">
        <v>0</v>
      </c>
      <c r="P35" s="95"/>
      <c r="Q35" s="95"/>
      <c r="R35" s="95"/>
      <c r="S35" s="95"/>
      <c r="T35" s="95"/>
      <c r="U35" s="95"/>
      <c r="V35" s="95"/>
      <c r="W35" s="95"/>
      <c r="X35" s="64"/>
      <c r="Y35" s="84"/>
    </row>
    <row r="36" spans="2:25" s="56" customFormat="1" ht="50.1" customHeight="1">
      <c r="B36" s="52">
        <f t="shared" si="1"/>
        <v>29</v>
      </c>
      <c r="C36" s="125" t="s">
        <v>89</v>
      </c>
      <c r="D36" s="126"/>
      <c r="E36" s="126"/>
      <c r="F36" s="126"/>
      <c r="G36" s="126"/>
      <c r="H36" s="127"/>
      <c r="I36" s="78">
        <v>1</v>
      </c>
      <c r="J36" s="87" t="s">
        <v>120</v>
      </c>
      <c r="K36" s="84" t="s">
        <v>23</v>
      </c>
      <c r="L36" s="97">
        <v>1</v>
      </c>
      <c r="M36" s="97">
        <v>1</v>
      </c>
      <c r="N36" s="121">
        <v>1</v>
      </c>
      <c r="O36" s="97">
        <v>1</v>
      </c>
      <c r="P36" s="82"/>
      <c r="Q36" s="82"/>
      <c r="R36" s="82"/>
      <c r="S36" s="82"/>
      <c r="T36" s="82"/>
      <c r="U36" s="82"/>
      <c r="V36" s="82"/>
      <c r="W36" s="82"/>
      <c r="X36" s="64"/>
      <c r="Y36" s="84"/>
    </row>
    <row r="37" spans="2:25" s="56" customFormat="1" ht="57" customHeight="1">
      <c r="B37" s="52">
        <f t="shared" si="1"/>
        <v>30</v>
      </c>
      <c r="C37" s="125" t="s">
        <v>90</v>
      </c>
      <c r="D37" s="126"/>
      <c r="E37" s="126"/>
      <c r="F37" s="126"/>
      <c r="G37" s="126"/>
      <c r="H37" s="127"/>
      <c r="I37" s="84" t="s">
        <v>84</v>
      </c>
      <c r="J37" s="87" t="s">
        <v>120</v>
      </c>
      <c r="K37" s="84" t="s">
        <v>23</v>
      </c>
      <c r="L37" s="98">
        <v>0</v>
      </c>
      <c r="M37" s="98">
        <v>0</v>
      </c>
      <c r="N37" s="122">
        <v>0</v>
      </c>
      <c r="O37" s="98">
        <v>0</v>
      </c>
      <c r="P37" s="95"/>
      <c r="Q37" s="95"/>
      <c r="R37" s="95"/>
      <c r="S37" s="95"/>
      <c r="T37" s="95"/>
      <c r="U37" s="95"/>
      <c r="V37" s="95"/>
      <c r="W37" s="95"/>
      <c r="X37" s="64"/>
      <c r="Y37" s="84"/>
    </row>
    <row r="38" spans="2:25" s="56" customFormat="1" ht="50.1" customHeight="1">
      <c r="B38" s="52">
        <f t="shared" si="1"/>
        <v>31</v>
      </c>
      <c r="C38" s="125" t="s">
        <v>92</v>
      </c>
      <c r="D38" s="126"/>
      <c r="E38" s="126"/>
      <c r="F38" s="126"/>
      <c r="G38" s="126"/>
      <c r="H38" s="127"/>
      <c r="I38" s="78" t="s">
        <v>47</v>
      </c>
      <c r="J38" s="87" t="s">
        <v>120</v>
      </c>
      <c r="K38" s="84" t="s">
        <v>50</v>
      </c>
      <c r="L38" s="94">
        <v>1</v>
      </c>
      <c r="M38" s="94">
        <v>1</v>
      </c>
      <c r="N38" s="110">
        <v>1</v>
      </c>
      <c r="O38" s="94">
        <v>1</v>
      </c>
      <c r="P38" s="54"/>
      <c r="Q38" s="58"/>
      <c r="R38" s="59"/>
      <c r="S38" s="61"/>
      <c r="T38" s="59"/>
      <c r="U38" s="60"/>
      <c r="V38" s="60"/>
      <c r="W38" s="60"/>
      <c r="X38" s="64"/>
      <c r="Y38" s="84"/>
    </row>
    <row r="39" spans="2:25" s="56" customFormat="1" ht="35.1" customHeight="1">
      <c r="B39" s="52">
        <f t="shared" si="1"/>
        <v>32</v>
      </c>
      <c r="C39" s="125" t="s">
        <v>93</v>
      </c>
      <c r="D39" s="126"/>
      <c r="E39" s="126"/>
      <c r="F39" s="126"/>
      <c r="G39" s="126"/>
      <c r="H39" s="127"/>
      <c r="I39" s="78" t="s">
        <v>91</v>
      </c>
      <c r="J39" s="87" t="s">
        <v>120</v>
      </c>
      <c r="K39" s="84" t="s">
        <v>50</v>
      </c>
      <c r="L39" s="94">
        <v>1</v>
      </c>
      <c r="M39" s="94">
        <v>1</v>
      </c>
      <c r="N39" s="109">
        <v>0.99299999999999999</v>
      </c>
      <c r="O39" s="94">
        <v>1</v>
      </c>
      <c r="P39" s="54"/>
      <c r="Q39" s="58"/>
      <c r="R39" s="59"/>
      <c r="S39" s="61"/>
      <c r="T39" s="59"/>
      <c r="U39" s="60"/>
      <c r="V39" s="60"/>
      <c r="W39" s="60"/>
      <c r="X39" s="64"/>
      <c r="Y39" s="84"/>
    </row>
    <row r="40" spans="2:25" s="56" customFormat="1" ht="35.1" customHeight="1">
      <c r="B40" s="52">
        <f t="shared" si="1"/>
        <v>33</v>
      </c>
      <c r="C40" s="125" t="s">
        <v>94</v>
      </c>
      <c r="D40" s="126"/>
      <c r="E40" s="126"/>
      <c r="F40" s="126"/>
      <c r="G40" s="126"/>
      <c r="H40" s="127"/>
      <c r="I40" s="78" t="s">
        <v>49</v>
      </c>
      <c r="J40" s="87" t="s">
        <v>120</v>
      </c>
      <c r="K40" s="84" t="s">
        <v>50</v>
      </c>
      <c r="L40" s="94">
        <v>1</v>
      </c>
      <c r="M40" s="114">
        <v>0.99399999999999999</v>
      </c>
      <c r="N40" s="110">
        <v>1</v>
      </c>
      <c r="O40" s="94">
        <v>1</v>
      </c>
      <c r="P40" s="54"/>
      <c r="Q40" s="58"/>
      <c r="R40" s="59"/>
      <c r="S40" s="61"/>
      <c r="T40" s="59"/>
      <c r="U40" s="60"/>
      <c r="V40" s="60"/>
      <c r="W40" s="60"/>
      <c r="X40" s="64"/>
      <c r="Y40" s="84"/>
    </row>
    <row r="41" spans="2:25" s="56" customFormat="1" ht="35.1" customHeight="1">
      <c r="B41" s="52">
        <f t="shared" si="1"/>
        <v>34</v>
      </c>
      <c r="C41" s="125" t="s">
        <v>99</v>
      </c>
      <c r="D41" s="126"/>
      <c r="E41" s="126"/>
      <c r="F41" s="126"/>
      <c r="G41" s="126"/>
      <c r="H41" s="127"/>
      <c r="I41" s="78" t="s">
        <v>47</v>
      </c>
      <c r="J41" s="87" t="s">
        <v>120</v>
      </c>
      <c r="K41" s="84" t="s">
        <v>20</v>
      </c>
      <c r="L41" s="106">
        <v>0.9677</v>
      </c>
      <c r="M41" s="106">
        <v>0.94779999999999998</v>
      </c>
      <c r="N41" s="123">
        <v>0.91510000000000002</v>
      </c>
      <c r="O41" s="106">
        <v>0.97089999999999999</v>
      </c>
      <c r="P41" s="82"/>
      <c r="Q41" s="82"/>
      <c r="R41" s="82"/>
      <c r="S41" s="82"/>
      <c r="T41" s="82"/>
      <c r="U41" s="82"/>
      <c r="V41" s="82"/>
      <c r="W41" s="82"/>
      <c r="X41" s="64"/>
      <c r="Y41" s="84"/>
    </row>
    <row r="42" spans="2:25" s="56" customFormat="1" ht="35.1" customHeight="1">
      <c r="B42" s="52">
        <f t="shared" si="1"/>
        <v>35</v>
      </c>
      <c r="C42" s="125" t="s">
        <v>98</v>
      </c>
      <c r="D42" s="126"/>
      <c r="E42" s="126"/>
      <c r="F42" s="126"/>
      <c r="G42" s="126"/>
      <c r="H42" s="127"/>
      <c r="I42" s="78" t="s">
        <v>47</v>
      </c>
      <c r="J42" s="87" t="s">
        <v>120</v>
      </c>
      <c r="K42" s="84" t="s">
        <v>20</v>
      </c>
      <c r="L42" s="97">
        <v>1</v>
      </c>
      <c r="M42" s="97">
        <v>1</v>
      </c>
      <c r="N42" s="121">
        <v>1</v>
      </c>
      <c r="O42" s="97">
        <v>1</v>
      </c>
      <c r="P42" s="82"/>
      <c r="Q42" s="82"/>
      <c r="R42" s="82"/>
      <c r="S42" s="82"/>
      <c r="T42" s="82"/>
      <c r="U42" s="82"/>
      <c r="V42" s="82"/>
      <c r="W42" s="82"/>
      <c r="X42" s="64"/>
      <c r="Y42" s="84"/>
    </row>
    <row r="43" spans="2:25" s="56" customFormat="1" ht="35.1" customHeight="1">
      <c r="B43" s="52">
        <f t="shared" si="1"/>
        <v>36</v>
      </c>
      <c r="C43" s="125" t="s">
        <v>97</v>
      </c>
      <c r="D43" s="126"/>
      <c r="E43" s="126"/>
      <c r="F43" s="126"/>
      <c r="G43" s="126"/>
      <c r="H43" s="127"/>
      <c r="I43" s="78" t="s">
        <v>47</v>
      </c>
      <c r="J43" s="87" t="s">
        <v>120</v>
      </c>
      <c r="K43" s="84" t="s">
        <v>20</v>
      </c>
      <c r="L43" s="97">
        <v>1</v>
      </c>
      <c r="M43" s="97">
        <v>1</v>
      </c>
      <c r="N43" s="121">
        <v>1</v>
      </c>
      <c r="O43" s="106">
        <v>0.98839999999999995</v>
      </c>
      <c r="P43" s="82"/>
      <c r="Q43" s="82"/>
      <c r="R43" s="82"/>
      <c r="S43" s="82"/>
      <c r="T43" s="82"/>
      <c r="U43" s="82"/>
      <c r="V43" s="82"/>
      <c r="W43" s="82"/>
      <c r="X43" s="64"/>
      <c r="Y43" s="84"/>
    </row>
    <row r="44" spans="2:25" s="56" customFormat="1" ht="35.1" customHeight="1">
      <c r="B44" s="52">
        <f t="shared" si="1"/>
        <v>37</v>
      </c>
      <c r="C44" s="125" t="s">
        <v>96</v>
      </c>
      <c r="D44" s="126"/>
      <c r="E44" s="126"/>
      <c r="F44" s="126"/>
      <c r="G44" s="126"/>
      <c r="H44" s="127"/>
      <c r="I44" s="78" t="s">
        <v>155</v>
      </c>
      <c r="J44" s="87" t="s">
        <v>120</v>
      </c>
      <c r="K44" s="53" t="s">
        <v>20</v>
      </c>
      <c r="L44" s="94">
        <v>0</v>
      </c>
      <c r="M44" s="94">
        <v>0</v>
      </c>
      <c r="N44" s="109">
        <v>9.4000000000000004E-3</v>
      </c>
      <c r="O44" s="93">
        <v>1.1599999999999999E-2</v>
      </c>
      <c r="P44" s="54"/>
      <c r="Q44" s="54"/>
      <c r="R44" s="54"/>
      <c r="S44" s="54"/>
      <c r="T44" s="54"/>
      <c r="U44" s="54"/>
      <c r="V44" s="54"/>
      <c r="W44" s="54"/>
      <c r="X44" s="64"/>
      <c r="Y44" s="53"/>
    </row>
    <row r="45" spans="2:25" s="56" customFormat="1" ht="50.1" customHeight="1">
      <c r="B45" s="52">
        <f t="shared" si="1"/>
        <v>38</v>
      </c>
      <c r="C45" s="125" t="s">
        <v>95</v>
      </c>
      <c r="D45" s="126"/>
      <c r="E45" s="126"/>
      <c r="F45" s="126"/>
      <c r="G45" s="126"/>
      <c r="H45" s="127"/>
      <c r="I45" s="78" t="s">
        <v>47</v>
      </c>
      <c r="J45" s="87" t="s">
        <v>120</v>
      </c>
      <c r="K45" s="53" t="s">
        <v>20</v>
      </c>
      <c r="L45" s="94">
        <v>1</v>
      </c>
      <c r="M45" s="94">
        <v>1</v>
      </c>
      <c r="N45" s="110">
        <v>1</v>
      </c>
      <c r="O45" s="94">
        <v>1</v>
      </c>
      <c r="P45" s="54"/>
      <c r="Q45" s="54"/>
      <c r="R45" s="54"/>
      <c r="S45" s="54"/>
      <c r="T45" s="54"/>
      <c r="U45" s="54"/>
      <c r="V45" s="54"/>
      <c r="W45" s="54"/>
      <c r="X45" s="64"/>
      <c r="Y45" s="53"/>
    </row>
    <row r="46" spans="2:25" s="56" customFormat="1" ht="35.1" customHeight="1">
      <c r="B46" s="52">
        <f t="shared" si="1"/>
        <v>39</v>
      </c>
      <c r="C46" s="125" t="s">
        <v>100</v>
      </c>
      <c r="D46" s="126"/>
      <c r="E46" s="126"/>
      <c r="F46" s="126"/>
      <c r="G46" s="126"/>
      <c r="H46" s="127"/>
      <c r="I46" s="78">
        <v>1</v>
      </c>
      <c r="J46" s="87" t="s">
        <v>120</v>
      </c>
      <c r="K46" s="53" t="s">
        <v>51</v>
      </c>
      <c r="L46" s="94">
        <v>1</v>
      </c>
      <c r="M46" s="94">
        <v>1</v>
      </c>
      <c r="N46" s="110">
        <v>1</v>
      </c>
      <c r="O46" s="94">
        <v>1</v>
      </c>
      <c r="P46" s="54"/>
      <c r="Q46" s="58"/>
      <c r="R46" s="59"/>
      <c r="S46" s="61"/>
      <c r="T46" s="59"/>
      <c r="U46" s="60"/>
      <c r="V46" s="60"/>
      <c r="W46" s="60"/>
      <c r="X46" s="64"/>
      <c r="Y46" s="53"/>
    </row>
    <row r="47" spans="2:25" s="56" customFormat="1" ht="35.1" customHeight="1">
      <c r="B47" s="52">
        <f t="shared" si="1"/>
        <v>40</v>
      </c>
      <c r="C47" s="125" t="s">
        <v>101</v>
      </c>
      <c r="D47" s="126"/>
      <c r="E47" s="126"/>
      <c r="F47" s="126"/>
      <c r="G47" s="126"/>
      <c r="H47" s="127"/>
      <c r="I47" s="78" t="s">
        <v>47</v>
      </c>
      <c r="J47" s="87" t="s">
        <v>120</v>
      </c>
      <c r="K47" s="84" t="s">
        <v>51</v>
      </c>
      <c r="L47" s="94">
        <v>1</v>
      </c>
      <c r="M47" s="93">
        <v>0.97499999999999998</v>
      </c>
      <c r="N47" s="110">
        <v>1</v>
      </c>
      <c r="O47" s="94">
        <v>1</v>
      </c>
      <c r="P47" s="54"/>
      <c r="Q47" s="58"/>
      <c r="R47" s="59"/>
      <c r="S47" s="61"/>
      <c r="T47" s="59"/>
      <c r="U47" s="60"/>
      <c r="V47" s="60"/>
      <c r="W47" s="60"/>
      <c r="X47" s="64"/>
      <c r="Y47" s="84"/>
    </row>
    <row r="48" spans="2:25" s="56" customFormat="1" ht="35.1" customHeight="1">
      <c r="B48" s="52">
        <f t="shared" si="1"/>
        <v>41</v>
      </c>
      <c r="C48" s="125" t="s">
        <v>102</v>
      </c>
      <c r="D48" s="126"/>
      <c r="E48" s="126"/>
      <c r="F48" s="126"/>
      <c r="G48" s="126"/>
      <c r="H48" s="127"/>
      <c r="I48" s="78" t="s">
        <v>47</v>
      </c>
      <c r="J48" s="87" t="s">
        <v>120</v>
      </c>
      <c r="K48" s="84" t="s">
        <v>51</v>
      </c>
      <c r="L48" s="102">
        <v>0.7</v>
      </c>
      <c r="M48" s="106">
        <v>0.94599999999999995</v>
      </c>
      <c r="N48" s="123">
        <v>0.93</v>
      </c>
      <c r="O48" s="102">
        <v>0.83299999999999996</v>
      </c>
      <c r="P48" s="82"/>
      <c r="Q48" s="82"/>
      <c r="R48" s="82"/>
      <c r="S48" s="82"/>
      <c r="T48" s="82"/>
      <c r="U48" s="82"/>
      <c r="V48" s="82"/>
      <c r="W48" s="82"/>
      <c r="X48" s="64"/>
      <c r="Y48" s="84"/>
    </row>
    <row r="49" spans="2:25" s="56" customFormat="1" ht="35.1" customHeight="1">
      <c r="B49" s="52">
        <f t="shared" si="1"/>
        <v>42</v>
      </c>
      <c r="C49" s="125" t="s">
        <v>164</v>
      </c>
      <c r="D49" s="126"/>
      <c r="E49" s="126"/>
      <c r="F49" s="126"/>
      <c r="G49" s="126"/>
      <c r="H49" s="127"/>
      <c r="I49" s="78" t="s">
        <v>79</v>
      </c>
      <c r="J49" s="87" t="s">
        <v>120</v>
      </c>
      <c r="K49" s="53" t="s">
        <v>52</v>
      </c>
      <c r="L49" s="93">
        <v>0.8</v>
      </c>
      <c r="M49" s="93">
        <v>0.8</v>
      </c>
      <c r="N49" s="109">
        <v>0.8</v>
      </c>
      <c r="O49" s="156"/>
      <c r="P49" s="54"/>
      <c r="Q49" s="54"/>
      <c r="R49" s="54"/>
      <c r="S49" s="54"/>
      <c r="T49" s="54"/>
      <c r="U49" s="54"/>
      <c r="V49" s="54"/>
      <c r="W49" s="54"/>
      <c r="X49" s="64"/>
      <c r="Y49" s="53"/>
    </row>
    <row r="50" spans="2:25" s="56" customFormat="1" ht="35.1" customHeight="1">
      <c r="B50" s="52">
        <f t="shared" si="1"/>
        <v>43</v>
      </c>
      <c r="C50" s="125" t="s">
        <v>103</v>
      </c>
      <c r="D50" s="126"/>
      <c r="E50" s="126"/>
      <c r="F50" s="126"/>
      <c r="G50" s="126"/>
      <c r="H50" s="127"/>
      <c r="I50" s="78" t="s">
        <v>49</v>
      </c>
      <c r="J50" s="87" t="s">
        <v>120</v>
      </c>
      <c r="K50" s="53" t="s">
        <v>52</v>
      </c>
      <c r="L50" s="93">
        <v>0.95</v>
      </c>
      <c r="M50" s="93">
        <v>0.95</v>
      </c>
      <c r="N50" s="109">
        <v>0.95</v>
      </c>
      <c r="O50" s="156"/>
      <c r="P50" s="54"/>
      <c r="Q50" s="54"/>
      <c r="R50" s="54"/>
      <c r="S50" s="54"/>
      <c r="T50" s="54"/>
      <c r="U50" s="54"/>
      <c r="V50" s="54"/>
      <c r="W50" s="54"/>
      <c r="X50" s="64"/>
      <c r="Y50" s="53"/>
    </row>
    <row r="51" spans="2:25" s="56" customFormat="1" ht="50.1" customHeight="1">
      <c r="B51" s="52">
        <f t="shared" si="1"/>
        <v>44</v>
      </c>
      <c r="C51" s="125" t="s">
        <v>106</v>
      </c>
      <c r="D51" s="126"/>
      <c r="E51" s="126"/>
      <c r="F51" s="126"/>
      <c r="G51" s="126"/>
      <c r="H51" s="127"/>
      <c r="I51" s="78">
        <v>1</v>
      </c>
      <c r="J51" s="87" t="s">
        <v>120</v>
      </c>
      <c r="K51" s="53" t="s">
        <v>53</v>
      </c>
      <c r="L51" s="94">
        <v>1</v>
      </c>
      <c r="M51" s="94">
        <v>1</v>
      </c>
      <c r="N51" s="110">
        <v>1</v>
      </c>
      <c r="O51" s="94">
        <v>1</v>
      </c>
      <c r="P51" s="54"/>
      <c r="Q51" s="58"/>
      <c r="R51" s="59"/>
      <c r="S51" s="61"/>
      <c r="T51" s="59"/>
      <c r="U51" s="60"/>
      <c r="V51" s="60"/>
      <c r="W51" s="60"/>
      <c r="X51" s="64"/>
      <c r="Y51" s="53"/>
    </row>
    <row r="52" spans="2:25" s="56" customFormat="1" ht="50.1" customHeight="1">
      <c r="B52" s="52">
        <f t="shared" si="1"/>
        <v>45</v>
      </c>
      <c r="C52" s="125" t="s">
        <v>108</v>
      </c>
      <c r="D52" s="126"/>
      <c r="E52" s="126"/>
      <c r="F52" s="126"/>
      <c r="G52" s="126"/>
      <c r="H52" s="127"/>
      <c r="I52" s="78">
        <v>1</v>
      </c>
      <c r="J52" s="87" t="s">
        <v>120</v>
      </c>
      <c r="K52" s="84" t="s">
        <v>53</v>
      </c>
      <c r="L52" s="94">
        <v>1</v>
      </c>
      <c r="M52" s="94">
        <v>1</v>
      </c>
      <c r="N52" s="110">
        <v>1</v>
      </c>
      <c r="O52" s="100">
        <v>0.7</v>
      </c>
      <c r="P52" s="54"/>
      <c r="Q52" s="58"/>
      <c r="R52" s="59"/>
      <c r="S52" s="61"/>
      <c r="T52" s="59"/>
      <c r="U52" s="60"/>
      <c r="V52" s="60"/>
      <c r="W52" s="60"/>
      <c r="X52" s="64"/>
      <c r="Y52" s="84"/>
    </row>
    <row r="53" spans="2:25" s="56" customFormat="1" ht="50.1" customHeight="1">
      <c r="B53" s="52">
        <f t="shared" si="1"/>
        <v>46</v>
      </c>
      <c r="C53" s="125" t="s">
        <v>107</v>
      </c>
      <c r="D53" s="126"/>
      <c r="E53" s="126"/>
      <c r="F53" s="126"/>
      <c r="G53" s="126"/>
      <c r="H53" s="127"/>
      <c r="I53" s="78" t="s">
        <v>104</v>
      </c>
      <c r="J53" s="87" t="s">
        <v>120</v>
      </c>
      <c r="K53" s="84" t="s">
        <v>53</v>
      </c>
      <c r="L53" s="94">
        <v>1</v>
      </c>
      <c r="M53" s="94">
        <v>1</v>
      </c>
      <c r="N53" s="110">
        <v>1</v>
      </c>
      <c r="O53" s="94">
        <v>1</v>
      </c>
      <c r="P53" s="54"/>
      <c r="Q53" s="58"/>
      <c r="R53" s="59"/>
      <c r="S53" s="61"/>
      <c r="T53" s="59"/>
      <c r="U53" s="60"/>
      <c r="V53" s="60"/>
      <c r="W53" s="60"/>
      <c r="X53" s="64"/>
      <c r="Y53" s="84"/>
    </row>
    <row r="54" spans="2:25" s="56" customFormat="1" ht="50.1" customHeight="1">
      <c r="B54" s="52">
        <f t="shared" si="1"/>
        <v>47</v>
      </c>
      <c r="C54" s="125" t="s">
        <v>109</v>
      </c>
      <c r="D54" s="126"/>
      <c r="E54" s="126"/>
      <c r="F54" s="126"/>
      <c r="G54" s="126"/>
      <c r="H54" s="127"/>
      <c r="I54" s="78">
        <v>1</v>
      </c>
      <c r="J54" s="87" t="s">
        <v>120</v>
      </c>
      <c r="K54" s="84" t="s">
        <v>53</v>
      </c>
      <c r="L54" s="94">
        <v>1</v>
      </c>
      <c r="M54" s="94">
        <v>1</v>
      </c>
      <c r="N54" s="110">
        <v>1</v>
      </c>
      <c r="O54" s="94">
        <v>1</v>
      </c>
      <c r="P54" s="54"/>
      <c r="Q54" s="58"/>
      <c r="R54" s="59"/>
      <c r="S54" s="61"/>
      <c r="T54" s="59"/>
      <c r="U54" s="60"/>
      <c r="V54" s="60"/>
      <c r="W54" s="60"/>
      <c r="X54" s="64"/>
      <c r="Y54" s="84"/>
    </row>
    <row r="55" spans="2:25" s="56" customFormat="1" ht="50.1" customHeight="1">
      <c r="B55" s="52">
        <f t="shared" si="1"/>
        <v>48</v>
      </c>
      <c r="C55" s="125" t="s">
        <v>110</v>
      </c>
      <c r="D55" s="126"/>
      <c r="E55" s="126"/>
      <c r="F55" s="126"/>
      <c r="G55" s="126"/>
      <c r="H55" s="127"/>
      <c r="I55" s="78">
        <v>1</v>
      </c>
      <c r="J55" s="87" t="s">
        <v>120</v>
      </c>
      <c r="K55" s="84" t="s">
        <v>53</v>
      </c>
      <c r="L55" s="94">
        <v>1</v>
      </c>
      <c r="M55" s="94">
        <v>1</v>
      </c>
      <c r="N55" s="110">
        <v>1</v>
      </c>
      <c r="O55" s="94">
        <v>1</v>
      </c>
      <c r="P55" s="54"/>
      <c r="Q55" s="58"/>
      <c r="R55" s="59"/>
      <c r="S55" s="61"/>
      <c r="T55" s="59"/>
      <c r="U55" s="60"/>
      <c r="V55" s="60"/>
      <c r="W55" s="60"/>
      <c r="X55" s="64"/>
      <c r="Y55" s="84"/>
    </row>
    <row r="56" spans="2:25" s="56" customFormat="1" ht="57" customHeight="1">
      <c r="B56" s="52">
        <f t="shared" si="1"/>
        <v>49</v>
      </c>
      <c r="C56" s="125" t="s">
        <v>111</v>
      </c>
      <c r="D56" s="126"/>
      <c r="E56" s="126"/>
      <c r="F56" s="126"/>
      <c r="G56" s="126"/>
      <c r="H56" s="127"/>
      <c r="I56" s="78">
        <v>1</v>
      </c>
      <c r="J56" s="87" t="s">
        <v>120</v>
      </c>
      <c r="K56" s="84" t="s">
        <v>53</v>
      </c>
      <c r="L56" s="94">
        <v>1</v>
      </c>
      <c r="M56" s="94">
        <v>1</v>
      </c>
      <c r="N56" s="110">
        <v>1</v>
      </c>
      <c r="O56" s="94">
        <v>1</v>
      </c>
      <c r="P56" s="54"/>
      <c r="Q56" s="58"/>
      <c r="R56" s="59"/>
      <c r="S56" s="61"/>
      <c r="T56" s="59"/>
      <c r="U56" s="60"/>
      <c r="V56" s="60"/>
      <c r="W56" s="60"/>
      <c r="X56" s="64"/>
      <c r="Y56" s="84"/>
    </row>
    <row r="57" spans="2:25" s="56" customFormat="1" ht="50.1" customHeight="1">
      <c r="B57" s="52">
        <f t="shared" si="1"/>
        <v>50</v>
      </c>
      <c r="C57" s="125" t="s">
        <v>112</v>
      </c>
      <c r="D57" s="126"/>
      <c r="E57" s="126"/>
      <c r="F57" s="126"/>
      <c r="G57" s="126"/>
      <c r="H57" s="127"/>
      <c r="I57" s="78" t="s">
        <v>105</v>
      </c>
      <c r="J57" s="87" t="s">
        <v>120</v>
      </c>
      <c r="K57" s="53" t="s">
        <v>53</v>
      </c>
      <c r="L57" s="94">
        <v>0</v>
      </c>
      <c r="M57" s="94">
        <v>0</v>
      </c>
      <c r="N57" s="110">
        <v>0</v>
      </c>
      <c r="O57" s="94">
        <v>0</v>
      </c>
      <c r="P57" s="54"/>
      <c r="Q57" s="58"/>
      <c r="R57" s="59"/>
      <c r="S57" s="61"/>
      <c r="T57" s="59"/>
      <c r="U57" s="60"/>
      <c r="V57" s="60"/>
      <c r="W57" s="60"/>
      <c r="X57" s="64"/>
      <c r="Y57" s="53"/>
    </row>
    <row r="58" spans="2:25" s="56" customFormat="1" ht="35.1" customHeight="1">
      <c r="B58" s="52">
        <f t="shared" si="1"/>
        <v>51</v>
      </c>
      <c r="C58" s="125" t="s">
        <v>144</v>
      </c>
      <c r="D58" s="126"/>
      <c r="E58" s="126"/>
      <c r="F58" s="126"/>
      <c r="G58" s="126"/>
      <c r="H58" s="127"/>
      <c r="I58" s="78">
        <v>1</v>
      </c>
      <c r="J58" s="87" t="s">
        <v>120</v>
      </c>
      <c r="K58" s="84" t="s">
        <v>114</v>
      </c>
      <c r="L58" s="94">
        <v>1</v>
      </c>
      <c r="M58" s="94">
        <v>1</v>
      </c>
      <c r="N58" s="110">
        <v>1</v>
      </c>
      <c r="O58" s="94">
        <v>1</v>
      </c>
      <c r="P58" s="54"/>
      <c r="Q58" s="58"/>
      <c r="R58" s="59"/>
      <c r="S58" s="61"/>
      <c r="T58" s="59"/>
      <c r="U58" s="60"/>
      <c r="V58" s="60"/>
      <c r="W58" s="60"/>
      <c r="X58" s="64"/>
      <c r="Y58" s="84"/>
    </row>
    <row r="59" spans="2:25" s="56" customFormat="1" ht="57" customHeight="1">
      <c r="B59" s="52">
        <f>B58+1</f>
        <v>52</v>
      </c>
      <c r="C59" s="125" t="s">
        <v>145</v>
      </c>
      <c r="D59" s="126"/>
      <c r="E59" s="126"/>
      <c r="F59" s="126"/>
      <c r="G59" s="126"/>
      <c r="H59" s="127"/>
      <c r="I59" s="53">
        <v>0</v>
      </c>
      <c r="J59" s="87" t="s">
        <v>120</v>
      </c>
      <c r="K59" s="53" t="s">
        <v>114</v>
      </c>
      <c r="L59" s="104">
        <v>0</v>
      </c>
      <c r="M59" s="104">
        <v>0</v>
      </c>
      <c r="N59" s="124">
        <v>0</v>
      </c>
      <c r="O59" s="104">
        <v>0</v>
      </c>
      <c r="P59" s="62"/>
      <c r="Q59" s="62"/>
      <c r="R59" s="62"/>
      <c r="S59" s="62"/>
      <c r="T59" s="62"/>
      <c r="U59" s="62"/>
      <c r="V59" s="62"/>
      <c r="W59" s="62"/>
      <c r="X59" s="64"/>
      <c r="Y59" s="53"/>
    </row>
    <row r="60" spans="2:25" s="56" customFormat="1" ht="50.1" customHeight="1">
      <c r="B60" s="52">
        <f t="shared" si="1"/>
        <v>53</v>
      </c>
      <c r="C60" s="125" t="s">
        <v>146</v>
      </c>
      <c r="D60" s="126"/>
      <c r="E60" s="126"/>
      <c r="F60" s="126"/>
      <c r="G60" s="126"/>
      <c r="H60" s="127"/>
      <c r="I60" s="78" t="s">
        <v>113</v>
      </c>
      <c r="J60" s="87" t="s">
        <v>120</v>
      </c>
      <c r="K60" s="53" t="s">
        <v>114</v>
      </c>
      <c r="L60" s="93">
        <v>0.95</v>
      </c>
      <c r="M60" s="103">
        <v>0.9</v>
      </c>
      <c r="N60" s="110">
        <v>1</v>
      </c>
      <c r="O60" s="94">
        <v>1</v>
      </c>
      <c r="P60" s="54"/>
      <c r="Q60" s="58"/>
      <c r="R60" s="59"/>
      <c r="S60" s="61"/>
      <c r="T60" s="59"/>
      <c r="U60" s="60"/>
      <c r="V60" s="60"/>
      <c r="W60" s="60"/>
      <c r="X60" s="64"/>
      <c r="Y60" s="53"/>
    </row>
    <row r="61" spans="2:25" s="56" customFormat="1" ht="35.1" customHeight="1">
      <c r="B61" s="52">
        <f>B60+1</f>
        <v>54</v>
      </c>
      <c r="C61" s="125" t="s">
        <v>147</v>
      </c>
      <c r="D61" s="126"/>
      <c r="E61" s="126"/>
      <c r="F61" s="126"/>
      <c r="G61" s="126"/>
      <c r="H61" s="127"/>
      <c r="I61" s="78">
        <v>1</v>
      </c>
      <c r="J61" s="87" t="s">
        <v>120</v>
      </c>
      <c r="K61" s="53" t="s">
        <v>117</v>
      </c>
      <c r="L61" s="94">
        <v>1</v>
      </c>
      <c r="M61" s="94">
        <v>1</v>
      </c>
      <c r="N61" s="110">
        <v>1</v>
      </c>
      <c r="O61" s="94">
        <v>1</v>
      </c>
      <c r="P61" s="54"/>
      <c r="Q61" s="58"/>
      <c r="R61" s="59"/>
      <c r="S61" s="61"/>
      <c r="T61" s="59"/>
      <c r="U61" s="60"/>
      <c r="V61" s="60"/>
      <c r="W61" s="60"/>
      <c r="X61" s="64"/>
      <c r="Y61" s="53"/>
    </row>
    <row r="62" spans="2:25" s="56" customFormat="1" ht="35.1" customHeight="1">
      <c r="B62" s="52">
        <f t="shared" si="1"/>
        <v>55</v>
      </c>
      <c r="C62" s="125" t="s">
        <v>148</v>
      </c>
      <c r="D62" s="126"/>
      <c r="E62" s="126"/>
      <c r="F62" s="126"/>
      <c r="G62" s="126"/>
      <c r="H62" s="127"/>
      <c r="I62" s="78" t="s">
        <v>115</v>
      </c>
      <c r="J62" s="87" t="s">
        <v>120</v>
      </c>
      <c r="K62" s="84" t="s">
        <v>117</v>
      </c>
      <c r="L62" s="103">
        <v>0</v>
      </c>
      <c r="M62" s="103">
        <v>0</v>
      </c>
      <c r="N62" s="100">
        <v>0.67</v>
      </c>
      <c r="O62" s="94">
        <v>1</v>
      </c>
      <c r="P62" s="54"/>
      <c r="Q62" s="58"/>
      <c r="R62" s="59"/>
      <c r="S62" s="61"/>
      <c r="T62" s="59"/>
      <c r="U62" s="60"/>
      <c r="V62" s="60"/>
      <c r="W62" s="60"/>
      <c r="X62" s="64"/>
      <c r="Y62" s="84"/>
    </row>
    <row r="63" spans="2:25" s="56" customFormat="1" ht="35.1" customHeight="1">
      <c r="B63" s="52">
        <f t="shared" si="1"/>
        <v>56</v>
      </c>
      <c r="C63" s="125" t="s">
        <v>149</v>
      </c>
      <c r="D63" s="126"/>
      <c r="E63" s="126"/>
      <c r="F63" s="126"/>
      <c r="G63" s="126"/>
      <c r="H63" s="127"/>
      <c r="I63" s="78" t="s">
        <v>113</v>
      </c>
      <c r="J63" s="87" t="s">
        <v>120</v>
      </c>
      <c r="K63" s="84" t="s">
        <v>117</v>
      </c>
      <c r="L63" s="94">
        <v>1</v>
      </c>
      <c r="M63" s="94">
        <v>1</v>
      </c>
      <c r="N63" s="110">
        <v>1</v>
      </c>
      <c r="O63" s="94">
        <v>1</v>
      </c>
      <c r="P63" s="54"/>
      <c r="Q63" s="58"/>
      <c r="R63" s="59"/>
      <c r="S63" s="61"/>
      <c r="T63" s="59"/>
      <c r="U63" s="60"/>
      <c r="V63" s="60"/>
      <c r="W63" s="60"/>
      <c r="X63" s="64"/>
      <c r="Y63" s="84"/>
    </row>
    <row r="64" spans="2:25" s="56" customFormat="1" ht="35.1" customHeight="1">
      <c r="B64" s="52">
        <f t="shared" si="1"/>
        <v>57</v>
      </c>
      <c r="C64" s="125" t="s">
        <v>150</v>
      </c>
      <c r="D64" s="126"/>
      <c r="E64" s="126"/>
      <c r="F64" s="126"/>
      <c r="G64" s="126"/>
      <c r="H64" s="127"/>
      <c r="I64" s="78">
        <v>1</v>
      </c>
      <c r="J64" s="87" t="s">
        <v>120</v>
      </c>
      <c r="K64" s="84" t="s">
        <v>117</v>
      </c>
      <c r="L64" s="94">
        <v>1</v>
      </c>
      <c r="M64" s="94">
        <v>1</v>
      </c>
      <c r="N64" s="110">
        <v>1</v>
      </c>
      <c r="O64" s="94">
        <v>1</v>
      </c>
      <c r="P64" s="54"/>
      <c r="Q64" s="58"/>
      <c r="R64" s="59"/>
      <c r="S64" s="61"/>
      <c r="T64" s="59"/>
      <c r="U64" s="60"/>
      <c r="V64" s="60"/>
      <c r="W64" s="60"/>
      <c r="X64" s="64"/>
      <c r="Y64" s="84"/>
    </row>
    <row r="65" spans="2:25" s="56" customFormat="1" ht="35.1" customHeight="1">
      <c r="B65" s="52">
        <f t="shared" si="1"/>
        <v>58</v>
      </c>
      <c r="C65" s="125" t="s">
        <v>151</v>
      </c>
      <c r="D65" s="126"/>
      <c r="E65" s="126"/>
      <c r="F65" s="126"/>
      <c r="G65" s="126"/>
      <c r="H65" s="127"/>
      <c r="I65" s="78">
        <v>1</v>
      </c>
      <c r="J65" s="87" t="s">
        <v>120</v>
      </c>
      <c r="K65" s="84" t="s">
        <v>117</v>
      </c>
      <c r="L65" s="94">
        <v>1</v>
      </c>
      <c r="M65" s="94">
        <v>1</v>
      </c>
      <c r="N65" s="110">
        <v>1</v>
      </c>
      <c r="O65" s="94">
        <v>1</v>
      </c>
      <c r="P65" s="54"/>
      <c r="Q65" s="58"/>
      <c r="R65" s="59"/>
      <c r="S65" s="61"/>
      <c r="T65" s="59"/>
      <c r="U65" s="60"/>
      <c r="V65" s="60"/>
      <c r="W65" s="60"/>
      <c r="X65" s="64"/>
      <c r="Y65" s="84"/>
    </row>
    <row r="66" spans="2:25" s="56" customFormat="1" ht="35.1" customHeight="1">
      <c r="B66" s="52">
        <f t="shared" si="1"/>
        <v>59</v>
      </c>
      <c r="C66" s="125" t="s">
        <v>152</v>
      </c>
      <c r="D66" s="126"/>
      <c r="E66" s="126"/>
      <c r="F66" s="126"/>
      <c r="G66" s="126"/>
      <c r="H66" s="127"/>
      <c r="I66" s="53" t="s">
        <v>116</v>
      </c>
      <c r="J66" s="87" t="s">
        <v>120</v>
      </c>
      <c r="K66" s="53" t="s">
        <v>117</v>
      </c>
      <c r="L66" s="94">
        <v>0.2</v>
      </c>
      <c r="M66" s="94">
        <v>0</v>
      </c>
      <c r="N66" s="110">
        <v>0</v>
      </c>
      <c r="O66" s="94">
        <v>0</v>
      </c>
      <c r="P66" s="54"/>
      <c r="Q66" s="58"/>
      <c r="R66" s="59"/>
      <c r="S66" s="61"/>
      <c r="T66" s="59"/>
      <c r="U66" s="60"/>
      <c r="V66" s="60"/>
      <c r="W66" s="60"/>
      <c r="X66" s="86"/>
      <c r="Y66" s="53"/>
    </row>
    <row r="67" spans="2:25" s="66" customFormat="1" ht="9.75" customHeight="1">
      <c r="X67" s="67"/>
      <c r="Y67" s="67"/>
    </row>
    <row r="68" spans="2:25" s="56" customFormat="1" ht="15" customHeight="1">
      <c r="B68" s="68" t="s">
        <v>44</v>
      </c>
      <c r="C68" s="46"/>
      <c r="D68" s="69"/>
      <c r="E68" s="38" t="s">
        <v>39</v>
      </c>
      <c r="H68" s="105"/>
      <c r="I68" s="65" t="s">
        <v>40</v>
      </c>
      <c r="J68" s="65"/>
      <c r="K68" s="158"/>
      <c r="L68" s="56" t="s">
        <v>165</v>
      </c>
      <c r="X68" s="70"/>
      <c r="Y68" s="70"/>
    </row>
    <row r="69" spans="2:25" s="66" customFormat="1" ht="18" customHeight="1">
      <c r="B69" s="36"/>
      <c r="X69" s="67"/>
      <c r="Y69" s="67"/>
    </row>
    <row r="70" spans="2:25" s="56" customFormat="1" ht="16.5" customHeight="1">
      <c r="B70" s="68" t="s">
        <v>46</v>
      </c>
      <c r="C70" s="46"/>
      <c r="X70" s="70"/>
      <c r="Y70" s="70"/>
    </row>
    <row r="71" spans="2:25" s="56" customFormat="1" ht="16.5" customHeight="1">
      <c r="B71" s="68" t="s">
        <v>45</v>
      </c>
      <c r="C71" s="46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X71" s="70"/>
      <c r="Y71" s="70"/>
    </row>
    <row r="72" spans="2:25" s="66" customFormat="1" ht="16.5" customHeight="1"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3"/>
      <c r="Y72" s="73"/>
    </row>
    <row r="73" spans="2:25" s="66" customFormat="1" ht="16.5" customHeight="1"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5"/>
      <c r="Y73" s="75"/>
    </row>
    <row r="74" spans="2:25" s="66" customFormat="1" ht="16.5" customHeight="1">
      <c r="X74" s="67"/>
      <c r="Y74" s="67"/>
    </row>
    <row r="75" spans="2:25" s="66" customFormat="1" ht="16.5" customHeight="1">
      <c r="X75" s="67"/>
      <c r="Y75" s="67"/>
    </row>
    <row r="76" spans="2:25" s="66" customFormat="1" ht="16.5" customHeight="1"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3"/>
      <c r="Y76" s="73"/>
    </row>
    <row r="77" spans="2:25" s="66" customFormat="1" ht="16.5" customHeight="1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5"/>
      <c r="Y77" s="75"/>
    </row>
    <row r="78" spans="2:25" s="66" customFormat="1" ht="16.5" customHeight="1"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3"/>
      <c r="Y78" s="73"/>
    </row>
    <row r="79" spans="2:25" s="66" customFormat="1" ht="16.5" customHeight="1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5"/>
      <c r="Y79" s="75"/>
    </row>
    <row r="80" spans="2:25" s="66" customFormat="1" ht="16.5" customHeight="1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3"/>
      <c r="Y80" s="73"/>
    </row>
    <row r="81" spans="2:26" s="66" customFormat="1" ht="16.5" customHeight="1"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5"/>
      <c r="Y81" s="75"/>
    </row>
    <row r="82" spans="2:26" s="66" customFormat="1" ht="16.5" customHeight="1"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3"/>
      <c r="Y82" s="73"/>
    </row>
    <row r="83" spans="2:26" s="66" customFormat="1" ht="16.5" customHeight="1"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5"/>
      <c r="Y83" s="75"/>
    </row>
    <row r="84" spans="2:26" ht="7.5" customHeight="1"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7"/>
      <c r="Y84" s="77"/>
    </row>
    <row r="85" spans="2:26" ht="16.5" customHeight="1"/>
    <row r="86" spans="2:26" ht="16.5" customHeight="1"/>
    <row r="87" spans="2:26" ht="16.5" customHeight="1"/>
    <row r="88" spans="2:26" ht="16.5" customHeight="1">
      <c r="E88" s="36" t="s">
        <v>42</v>
      </c>
      <c r="G88" s="113" t="s">
        <v>43</v>
      </c>
      <c r="H88" s="139">
        <v>46064</v>
      </c>
      <c r="I88" s="139"/>
      <c r="J88" s="36" t="s">
        <v>162</v>
      </c>
      <c r="K88" s="36" t="s">
        <v>162</v>
      </c>
    </row>
    <row r="89" spans="2:26" ht="16.5" customHeight="1">
      <c r="G89" s="113" t="s">
        <v>161</v>
      </c>
      <c r="H89" s="139">
        <v>46091</v>
      </c>
      <c r="I89" s="139"/>
      <c r="J89" s="140" t="s">
        <v>163</v>
      </c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spans="2:26" ht="16.5" customHeight="1"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spans="2:26" ht="16.5" customHeight="1"/>
    <row r="92" spans="2:26" ht="16.5" customHeight="1"/>
    <row r="93" spans="2:26" ht="16.5" customHeight="1"/>
    <row r="94" spans="2:26" ht="16.5" customHeight="1"/>
    <row r="95" spans="2:26" ht="16.5" customHeight="1"/>
    <row r="96" spans="2:2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</sheetData>
  <mergeCells count="69">
    <mergeCell ref="H88:I88"/>
    <mergeCell ref="H89:I89"/>
    <mergeCell ref="J89:Z90"/>
    <mergeCell ref="C60:H60"/>
    <mergeCell ref="C59:H59"/>
    <mergeCell ref="C58:H58"/>
    <mergeCell ref="C66:H66"/>
    <mergeCell ref="C65:H65"/>
    <mergeCell ref="C64:H64"/>
    <mergeCell ref="C63:H63"/>
    <mergeCell ref="C62:H62"/>
    <mergeCell ref="C61:H61"/>
    <mergeCell ref="C48:H48"/>
    <mergeCell ref="C47:H47"/>
    <mergeCell ref="C46:H46"/>
    <mergeCell ref="C50:H50"/>
    <mergeCell ref="C57:H57"/>
    <mergeCell ref="C56:H56"/>
    <mergeCell ref="C55:H55"/>
    <mergeCell ref="C54:H54"/>
    <mergeCell ref="C53:H53"/>
    <mergeCell ref="C52:H52"/>
    <mergeCell ref="C51:H51"/>
    <mergeCell ref="C49:H49"/>
    <mergeCell ref="C45:H45"/>
    <mergeCell ref="C44:H44"/>
    <mergeCell ref="C43:H43"/>
    <mergeCell ref="C42:H42"/>
    <mergeCell ref="C41:H41"/>
    <mergeCell ref="C39:H39"/>
    <mergeCell ref="C40:H40"/>
    <mergeCell ref="C19:H19"/>
    <mergeCell ref="C21:H21"/>
    <mergeCell ref="C22:H22"/>
    <mergeCell ref="C27:H27"/>
    <mergeCell ref="C28:H28"/>
    <mergeCell ref="C29:H29"/>
    <mergeCell ref="C30:H30"/>
    <mergeCell ref="C31:H31"/>
    <mergeCell ref="C32:H32"/>
    <mergeCell ref="C33:H33"/>
    <mergeCell ref="C34:H34"/>
    <mergeCell ref="C38:H38"/>
    <mergeCell ref="C37:H37"/>
    <mergeCell ref="C36:H36"/>
    <mergeCell ref="C35:H35"/>
    <mergeCell ref="F1:W1"/>
    <mergeCell ref="F2:W2"/>
    <mergeCell ref="F4:W4"/>
    <mergeCell ref="F5:W5"/>
    <mergeCell ref="C13:H13"/>
    <mergeCell ref="C14:H14"/>
    <mergeCell ref="C18:H18"/>
    <mergeCell ref="C20:H20"/>
    <mergeCell ref="C23:H23"/>
    <mergeCell ref="C24:H24"/>
    <mergeCell ref="C25:H25"/>
    <mergeCell ref="C26:H26"/>
    <mergeCell ref="L6:W6"/>
    <mergeCell ref="C7:H7"/>
    <mergeCell ref="C6:H6"/>
    <mergeCell ref="C11:H11"/>
    <mergeCell ref="C8:H8"/>
    <mergeCell ref="C9:H9"/>
    <mergeCell ref="C10:H10"/>
    <mergeCell ref="C17:H17"/>
    <mergeCell ref="C12:H12"/>
    <mergeCell ref="C15:H15"/>
    <mergeCell ref="C16:H16"/>
  </mergeCells>
  <phoneticPr fontId="1" type="noConversion"/>
  <printOptions horizontalCentered="1"/>
  <pageMargins left="0" right="0" top="0.39370078740157483" bottom="0" header="0.31496062992125984" footer="0"/>
  <pageSetup paperSize="8" scale="92" orientation="landscape" r:id="rId1"/>
  <headerFooter>
    <oddFooter xml:space="preserve">&amp;CPage &amp;P / &amp;N&amp;RFM-MR-23 Rev.00  05-May-2025  </oddFooter>
  </headerFooter>
  <rowBreaks count="3" manualBreakCount="3">
    <brk id="25" max="25" man="1"/>
    <brk id="44" max="25" man="1"/>
    <brk id="57" max="25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862F-2A06-48C7-9BD6-4B738E063CB5}">
  <dimension ref="C3:AC20"/>
  <sheetViews>
    <sheetView workbookViewId="0">
      <selection activeCell="N12" sqref="N12"/>
    </sheetView>
  </sheetViews>
  <sheetFormatPr defaultRowHeight="14.25"/>
  <cols>
    <col min="4" max="4" width="1.5" style="14" customWidth="1"/>
    <col min="5" max="5" width="4.375" style="14" customWidth="1"/>
    <col min="6" max="6" width="18.25" style="14" customWidth="1"/>
    <col min="7" max="8" width="1.5" style="14" customWidth="1"/>
    <col min="9" max="9" width="4.375" style="14" customWidth="1"/>
    <col min="10" max="10" width="18.25" style="14" customWidth="1"/>
    <col min="11" max="12" width="1.5" style="14" customWidth="1"/>
    <col min="13" max="14" width="11.625" style="14" customWidth="1"/>
    <col min="15" max="15" width="1.5" style="14" customWidth="1"/>
    <col min="18" max="18" width="1.5" style="14" customWidth="1"/>
    <col min="19" max="19" width="4.375" style="14" customWidth="1"/>
    <col min="20" max="20" width="18.25" style="14" customWidth="1"/>
    <col min="21" max="22" width="1.5" style="14" customWidth="1"/>
    <col min="23" max="23" width="4.375" style="14" customWidth="1"/>
    <col min="24" max="24" width="18.25" style="14" customWidth="1"/>
    <col min="25" max="26" width="1.5" style="14" customWidth="1"/>
    <col min="27" max="27" width="4.375" style="14" customWidth="1"/>
    <col min="28" max="28" width="18.25" style="14" customWidth="1"/>
    <col min="29" max="29" width="1.5" style="14" customWidth="1"/>
  </cols>
  <sheetData>
    <row r="3" spans="4:29">
      <c r="D3" s="141" t="s">
        <v>29</v>
      </c>
      <c r="E3" s="142"/>
      <c r="F3" s="142"/>
      <c r="G3" s="143"/>
      <c r="H3" s="144" t="s">
        <v>30</v>
      </c>
      <c r="I3" s="144"/>
      <c r="J3" s="144"/>
      <c r="K3" s="144"/>
      <c r="L3" s="144" t="s">
        <v>31</v>
      </c>
      <c r="M3" s="144"/>
      <c r="N3" s="144"/>
      <c r="O3" s="144"/>
      <c r="R3" s="141" t="s">
        <v>29</v>
      </c>
      <c r="S3" s="142"/>
      <c r="T3" s="142"/>
      <c r="U3" s="143"/>
      <c r="V3" s="144" t="s">
        <v>30</v>
      </c>
      <c r="W3" s="144"/>
      <c r="X3" s="144"/>
      <c r="Y3" s="144"/>
      <c r="Z3" s="144" t="s">
        <v>31</v>
      </c>
      <c r="AA3" s="144"/>
      <c r="AB3" s="144"/>
      <c r="AC3" s="144"/>
    </row>
    <row r="4" spans="4:29" ht="45.75" customHeight="1">
      <c r="D4" s="1"/>
      <c r="E4" s="145"/>
      <c r="F4" s="145"/>
      <c r="G4" s="2"/>
      <c r="H4" s="1"/>
      <c r="I4" s="146"/>
      <c r="J4" s="146"/>
      <c r="K4" s="2"/>
      <c r="L4" s="1"/>
      <c r="M4" s="146"/>
      <c r="N4" s="146"/>
      <c r="O4" s="3"/>
      <c r="R4" s="1"/>
      <c r="S4" s="150" t="s">
        <v>32</v>
      </c>
      <c r="T4" s="150"/>
      <c r="U4" s="2"/>
      <c r="V4" s="1"/>
      <c r="W4" s="146"/>
      <c r="X4" s="146"/>
      <c r="Y4" s="2"/>
      <c r="Z4" s="1"/>
      <c r="AA4" s="146"/>
      <c r="AB4" s="146"/>
      <c r="AC4" s="3"/>
    </row>
    <row r="5" spans="4:29" ht="16.5">
      <c r="D5" s="4" t="s">
        <v>33</v>
      </c>
      <c r="E5" s="153"/>
      <c r="F5" s="153"/>
      <c r="G5" s="5" t="s">
        <v>35</v>
      </c>
      <c r="H5" s="6" t="s">
        <v>33</v>
      </c>
      <c r="I5" s="152"/>
      <c r="J5" s="152"/>
      <c r="K5" s="5" t="s">
        <v>35</v>
      </c>
      <c r="L5" s="6" t="s">
        <v>33</v>
      </c>
      <c r="M5" s="152"/>
      <c r="N5" s="152"/>
      <c r="O5" s="7" t="s">
        <v>35</v>
      </c>
      <c r="R5" s="4" t="s">
        <v>33</v>
      </c>
      <c r="S5" s="152" t="s">
        <v>34</v>
      </c>
      <c r="T5" s="152"/>
      <c r="U5" s="5" t="s">
        <v>35</v>
      </c>
      <c r="V5" s="6" t="s">
        <v>33</v>
      </c>
      <c r="W5" s="147" t="s">
        <v>36</v>
      </c>
      <c r="X5" s="147"/>
      <c r="Y5" s="5" t="s">
        <v>35</v>
      </c>
      <c r="Z5" s="6" t="s">
        <v>33</v>
      </c>
      <c r="AA5" s="147" t="s">
        <v>37</v>
      </c>
      <c r="AB5" s="147"/>
      <c r="AC5" s="7" t="s">
        <v>35</v>
      </c>
    </row>
    <row r="6" spans="4:29" ht="15.75">
      <c r="D6" s="4"/>
      <c r="E6" s="154"/>
      <c r="F6" s="154"/>
      <c r="G6" s="5"/>
      <c r="H6" s="6"/>
      <c r="I6" s="155"/>
      <c r="J6" s="155"/>
      <c r="K6" s="5"/>
      <c r="L6" s="6"/>
      <c r="M6" s="155"/>
      <c r="N6" s="155"/>
      <c r="O6" s="7"/>
      <c r="R6" s="4"/>
      <c r="S6" s="34"/>
      <c r="T6" s="32"/>
      <c r="U6" s="5"/>
      <c r="V6" s="6"/>
      <c r="W6" s="35"/>
      <c r="X6" s="33"/>
      <c r="Y6" s="5"/>
      <c r="Z6" s="6"/>
      <c r="AA6" s="35"/>
      <c r="AB6" s="33"/>
      <c r="AC6" s="7"/>
    </row>
    <row r="7" spans="4:29" ht="16.5">
      <c r="D7" s="148" t="s">
        <v>38</v>
      </c>
      <c r="E7" s="149"/>
      <c r="F7" s="9"/>
      <c r="G7" s="7"/>
      <c r="H7" s="148" t="s">
        <v>38</v>
      </c>
      <c r="I7" s="149"/>
      <c r="J7" s="9"/>
      <c r="K7" s="7"/>
      <c r="L7" s="148" t="s">
        <v>38</v>
      </c>
      <c r="M7" s="149"/>
      <c r="N7" s="9"/>
      <c r="O7" s="3"/>
      <c r="R7" s="148" t="s">
        <v>38</v>
      </c>
      <c r="S7" s="149"/>
      <c r="T7" s="9">
        <v>45770</v>
      </c>
      <c r="U7" s="7"/>
      <c r="V7" s="148" t="s">
        <v>38</v>
      </c>
      <c r="W7" s="149"/>
      <c r="X7" s="9">
        <v>45770</v>
      </c>
      <c r="Y7" s="7"/>
      <c r="Z7" s="148" t="s">
        <v>38</v>
      </c>
      <c r="AA7" s="149"/>
      <c r="AB7" s="9">
        <v>45770</v>
      </c>
      <c r="AC7" s="3"/>
    </row>
    <row r="8" spans="4:29">
      <c r="D8" s="10"/>
      <c r="E8" s="11"/>
      <c r="F8" s="11"/>
      <c r="G8" s="12"/>
      <c r="H8" s="10"/>
      <c r="I8" s="11"/>
      <c r="J8" s="11"/>
      <c r="K8" s="12"/>
      <c r="L8" s="10"/>
      <c r="M8" s="11"/>
      <c r="N8" s="11"/>
      <c r="O8" s="13"/>
      <c r="R8" s="10"/>
      <c r="S8" s="11"/>
      <c r="T8" s="11"/>
      <c r="U8" s="12"/>
      <c r="V8" s="10"/>
      <c r="W8" s="11"/>
      <c r="X8" s="11"/>
      <c r="Y8" s="12"/>
      <c r="Z8" s="10"/>
      <c r="AA8" s="11"/>
      <c r="AB8" s="11"/>
      <c r="AC8" s="13"/>
    </row>
    <row r="9" spans="4:29">
      <c r="D9" s="8"/>
      <c r="E9" s="8"/>
      <c r="F9" s="8"/>
      <c r="G9" s="8"/>
      <c r="H9" s="8"/>
      <c r="I9" s="8"/>
      <c r="J9" s="8"/>
      <c r="K9" s="8"/>
      <c r="L9" s="8"/>
      <c r="M9" s="8"/>
      <c r="N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4:29"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5" spans="4:29" ht="38.25" customHeight="1">
      <c r="F15" s="151" t="s">
        <v>72</v>
      </c>
      <c r="G15" s="151"/>
      <c r="H15" s="151"/>
      <c r="I15" s="151"/>
      <c r="J15" s="151"/>
      <c r="K15" s="151"/>
      <c r="L15" s="151"/>
      <c r="M15" s="151"/>
    </row>
    <row r="18" spans="3:29" s="15" customFormat="1" ht="52.5" customHeight="1">
      <c r="C18" s="151" t="s">
        <v>72</v>
      </c>
      <c r="D18" s="151"/>
      <c r="E18" s="151"/>
      <c r="F18" s="151"/>
      <c r="G18" s="151"/>
      <c r="H18" s="151"/>
      <c r="I18" s="151"/>
      <c r="J18" s="8"/>
      <c r="K18" s="8"/>
      <c r="L18" s="8"/>
      <c r="M18" s="31" t="s">
        <v>73</v>
      </c>
      <c r="N18" s="8"/>
      <c r="O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20" spans="3:29" ht="37.5" customHeight="1">
      <c r="M20" s="151" t="s">
        <v>71</v>
      </c>
      <c r="N20" s="151"/>
    </row>
  </sheetData>
  <mergeCells count="30">
    <mergeCell ref="F15:M15"/>
    <mergeCell ref="C18:I18"/>
    <mergeCell ref="M20:N20"/>
    <mergeCell ref="S5:T5"/>
    <mergeCell ref="W5:X5"/>
    <mergeCell ref="E5:F5"/>
    <mergeCell ref="I5:J5"/>
    <mergeCell ref="M5:N5"/>
    <mergeCell ref="D7:E7"/>
    <mergeCell ref="H7:I7"/>
    <mergeCell ref="L7:M7"/>
    <mergeCell ref="E6:F6"/>
    <mergeCell ref="I6:J6"/>
    <mergeCell ref="M6:N6"/>
    <mergeCell ref="AA5:AB5"/>
    <mergeCell ref="R7:S7"/>
    <mergeCell ref="V7:W7"/>
    <mergeCell ref="Z7:AA7"/>
    <mergeCell ref="R3:U3"/>
    <mergeCell ref="V3:Y3"/>
    <mergeCell ref="Z3:AC3"/>
    <mergeCell ref="S4:T4"/>
    <mergeCell ref="W4:X4"/>
    <mergeCell ref="AA4:AB4"/>
    <mergeCell ref="D3:G3"/>
    <mergeCell ref="H3:K3"/>
    <mergeCell ref="L3:O3"/>
    <mergeCell ref="E4:F4"/>
    <mergeCell ref="I4:J4"/>
    <mergeCell ref="M4:N4"/>
  </mergeCells>
  <hyperlinks>
    <hyperlink ref="F15" r:id="rId1" display="\\192.168.88.231\NDC_public\NDC MR\6-KPI\KPI Year 2025" xr:uid="{632C98D8-7663-479A-82C1-3ACEBB890C85}"/>
    <hyperlink ref="F15:M15" r:id="rId2" display="\\192.168.88.231\NDC_public\NDC MR\6-KPI\KPI Year 2025\KPI Result Year 2025 (Apr-Dec).xlsx" xr:uid="{BFEDAB76-C93F-4857-8C37-88AEF5DA3618}"/>
    <hyperlink ref="C18" r:id="rId3" display="\\192.168.88.231\NDC_public\NDC MR\6-KPI" xr:uid="{930DE116-9D6C-4DC9-AD56-96CDC8A23951}"/>
    <hyperlink ref="C18:I18" r:id="rId4" display="\\192.168.88.231\NDC_public\NDC MR\6-KPI\KPI Year 2025\KPI Result Year 2025 (Apr-Dec).xlsx" xr:uid="{AC31DB61-E513-419F-8DD0-D271B4FEAEA8}"/>
    <hyperlink ref="M18" r:id="rId5" xr:uid="{EE35A0EC-7B0A-40C3-9240-15A81487A94C}"/>
    <hyperlink ref="M20" r:id="rId6" xr:uid="{860927C7-95AC-48DD-8857-8DE234377C0E}"/>
  </hyperlinks>
  <pageMargins left="0.7" right="0.7" top="0.75" bottom="0.75" header="0.3" footer="0.3"/>
  <pageSetup paperSize="9"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0F67-B2E7-4532-8476-E159BC99959A}">
  <dimension ref="C4:J30"/>
  <sheetViews>
    <sheetView topLeftCell="A4" workbookViewId="0">
      <selection activeCell="H20" sqref="H20"/>
    </sheetView>
  </sheetViews>
  <sheetFormatPr defaultRowHeight="18"/>
  <cols>
    <col min="1" max="2" width="9" style="17"/>
    <col min="3" max="3" width="14.125" style="18" customWidth="1"/>
    <col min="4" max="4" width="17.25" style="17" customWidth="1"/>
    <col min="5" max="5" width="13.125" style="17" customWidth="1"/>
    <col min="6" max="6" width="13.875" style="17" customWidth="1"/>
    <col min="7" max="16384" width="9" style="17"/>
  </cols>
  <sheetData>
    <row r="4" spans="3:10">
      <c r="C4" s="16" t="s">
        <v>55</v>
      </c>
    </row>
    <row r="5" spans="3:10">
      <c r="C5" s="16" t="s">
        <v>58</v>
      </c>
    </row>
    <row r="6" spans="3:10">
      <c r="C6" s="16"/>
    </row>
    <row r="7" spans="3:10">
      <c r="C7" s="16" t="s">
        <v>60</v>
      </c>
    </row>
    <row r="8" spans="3:10">
      <c r="C8" s="16" t="s">
        <v>59</v>
      </c>
    </row>
    <row r="11" spans="3:10">
      <c r="C11" s="18" t="s">
        <v>68</v>
      </c>
      <c r="D11" s="19" t="s">
        <v>67</v>
      </c>
    </row>
    <row r="12" spans="3:10">
      <c r="C12" s="18" t="s">
        <v>69</v>
      </c>
      <c r="D12" s="20">
        <v>45870</v>
      </c>
    </row>
    <row r="13" spans="3:10" ht="12" customHeight="1"/>
    <row r="14" spans="3:10">
      <c r="C14" s="21" t="s">
        <v>2</v>
      </c>
      <c r="D14" s="21" t="s">
        <v>56</v>
      </c>
      <c r="E14" s="22" t="s">
        <v>61</v>
      </c>
      <c r="F14" s="22" t="s">
        <v>62</v>
      </c>
      <c r="G14" s="23"/>
      <c r="H14" s="23"/>
      <c r="I14" s="23"/>
      <c r="J14" s="23"/>
    </row>
    <row r="15" spans="3:10" s="26" customFormat="1" ht="14.25">
      <c r="C15" s="24" t="s">
        <v>27</v>
      </c>
      <c r="D15" s="24" t="s">
        <v>57</v>
      </c>
      <c r="E15" s="25" t="s">
        <v>63</v>
      </c>
      <c r="F15" s="24" t="s">
        <v>64</v>
      </c>
    </row>
    <row r="16" spans="3:10" s="30" customFormat="1" ht="21.75" customHeight="1">
      <c r="C16" s="27">
        <v>1</v>
      </c>
      <c r="D16" s="27" t="s">
        <v>17</v>
      </c>
      <c r="E16" s="28" t="s">
        <v>70</v>
      </c>
      <c r="F16" s="29"/>
    </row>
    <row r="17" spans="3:6" s="30" customFormat="1" ht="21.75" customHeight="1">
      <c r="C17" s="27">
        <f>C16+1</f>
        <v>2</v>
      </c>
      <c r="D17" s="27" t="s">
        <v>65</v>
      </c>
      <c r="E17" s="28"/>
      <c r="F17" s="29"/>
    </row>
    <row r="18" spans="3:6" s="30" customFormat="1" ht="21.75" customHeight="1">
      <c r="C18" s="27">
        <f t="shared" ref="C18:C30" si="0">C17+1</f>
        <v>3</v>
      </c>
      <c r="D18" s="27" t="s">
        <v>18</v>
      </c>
      <c r="E18" s="28"/>
      <c r="F18" s="29"/>
    </row>
    <row r="19" spans="3:6" s="30" customFormat="1" ht="21.75" customHeight="1">
      <c r="C19" s="27">
        <f t="shared" si="0"/>
        <v>4</v>
      </c>
      <c r="D19" s="27" t="s">
        <v>19</v>
      </c>
      <c r="E19" s="28"/>
      <c r="F19" s="29"/>
    </row>
    <row r="20" spans="3:6" s="30" customFormat="1" ht="21.75" customHeight="1">
      <c r="C20" s="27">
        <f t="shared" si="0"/>
        <v>5</v>
      </c>
      <c r="D20" s="27" t="s">
        <v>48</v>
      </c>
      <c r="E20" s="28"/>
      <c r="F20" s="29"/>
    </row>
    <row r="21" spans="3:6" s="30" customFormat="1" ht="21.75" customHeight="1">
      <c r="C21" s="27">
        <f t="shared" si="0"/>
        <v>6</v>
      </c>
      <c r="D21" s="27" t="s">
        <v>21</v>
      </c>
      <c r="E21" s="28"/>
      <c r="F21" s="29"/>
    </row>
    <row r="22" spans="3:6" s="30" customFormat="1" ht="21.75" customHeight="1">
      <c r="C22" s="27">
        <f t="shared" si="0"/>
        <v>7</v>
      </c>
      <c r="D22" s="27" t="s">
        <v>22</v>
      </c>
      <c r="E22" s="28"/>
      <c r="F22" s="29"/>
    </row>
    <row r="23" spans="3:6" s="30" customFormat="1" ht="21.75" customHeight="1">
      <c r="C23" s="27">
        <f t="shared" si="0"/>
        <v>8</v>
      </c>
      <c r="D23" s="27" t="s">
        <v>66</v>
      </c>
      <c r="E23" s="28"/>
      <c r="F23" s="29"/>
    </row>
    <row r="24" spans="3:6" s="30" customFormat="1" ht="21.75" customHeight="1">
      <c r="C24" s="27">
        <f t="shared" si="0"/>
        <v>9</v>
      </c>
      <c r="D24" s="27" t="s">
        <v>23</v>
      </c>
      <c r="E24" s="28"/>
      <c r="F24" s="29"/>
    </row>
    <row r="25" spans="3:6" s="30" customFormat="1" ht="21.75" customHeight="1">
      <c r="C25" s="27">
        <f t="shared" si="0"/>
        <v>10</v>
      </c>
      <c r="D25" s="27" t="s">
        <v>50</v>
      </c>
      <c r="E25" s="28"/>
      <c r="F25" s="29"/>
    </row>
    <row r="26" spans="3:6" s="30" customFormat="1" ht="21.75" customHeight="1">
      <c r="C26" s="27">
        <f t="shared" si="0"/>
        <v>11</v>
      </c>
      <c r="D26" s="27" t="s">
        <v>20</v>
      </c>
      <c r="E26" s="28"/>
      <c r="F26" s="29"/>
    </row>
    <row r="27" spans="3:6" s="30" customFormat="1" ht="21.75" customHeight="1">
      <c r="C27" s="27">
        <f t="shared" si="0"/>
        <v>12</v>
      </c>
      <c r="D27" s="27" t="s">
        <v>51</v>
      </c>
      <c r="E27" s="28"/>
      <c r="F27" s="29"/>
    </row>
    <row r="28" spans="3:6" s="30" customFormat="1" ht="21.75" customHeight="1">
      <c r="C28" s="27">
        <f t="shared" si="0"/>
        <v>13</v>
      </c>
      <c r="D28" s="27" t="s">
        <v>52</v>
      </c>
      <c r="E28" s="28"/>
      <c r="F28" s="29"/>
    </row>
    <row r="29" spans="3:6" s="30" customFormat="1" ht="21.75" customHeight="1">
      <c r="C29" s="27">
        <f t="shared" si="0"/>
        <v>14</v>
      </c>
      <c r="D29" s="27" t="s">
        <v>53</v>
      </c>
      <c r="E29" s="28"/>
      <c r="F29" s="29"/>
    </row>
    <row r="30" spans="3:6" s="30" customFormat="1" ht="21.75" customHeight="1">
      <c r="C30" s="27">
        <f t="shared" si="0"/>
        <v>15</v>
      </c>
      <c r="D30" s="27" t="s">
        <v>54</v>
      </c>
      <c r="E30" s="28"/>
      <c r="F3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Rev.00</vt:lpstr>
      <vt:lpstr>Sheet2</vt:lpstr>
      <vt:lpstr>Sheet1</vt:lpstr>
      <vt:lpstr>Rev.00!Print_Area</vt:lpstr>
      <vt:lpstr>Rev.00!Print_Titles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NDC-020</dc:creator>
  <cp:lastModifiedBy>KEAWKANYA SENARUK</cp:lastModifiedBy>
  <cp:lastPrinted>2026-03-11T09:19:56Z</cp:lastPrinted>
  <dcterms:created xsi:type="dcterms:W3CDTF">2025-04-17T09:38:55Z</dcterms:created>
  <dcterms:modified xsi:type="dcterms:W3CDTF">2026-05-12T10:06:10Z</dcterms:modified>
</cp:coreProperties>
</file>